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oline Sirait\Downloads\"/>
    </mc:Choice>
  </mc:AlternateContent>
  <xr:revisionPtr revIDLastSave="0" documentId="13_ncr:1_{583D8EB5-9100-487F-AF0C-258A533B7CBE}" xr6:coauthVersionLast="47" xr6:coauthVersionMax="47" xr10:uidLastSave="{00000000-0000-0000-0000-000000000000}"/>
  <bookViews>
    <workbookView xWindow="-110" yWindow="-110" windowWidth="19420" windowHeight="10300" xr2:uid="{E9FCCA34-1C1F-41AD-A935-1FF37943039B}"/>
  </bookViews>
  <sheets>
    <sheet name="Perpanjang kontrak 2026" sheetId="1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62" i="17" l="1"/>
  <c r="I520" i="17" l="1"/>
  <c r="J520" i="17" s="1"/>
  <c r="I745" i="17"/>
  <c r="J745" i="17" s="1"/>
  <c r="I519" i="17"/>
  <c r="J519" i="17" s="1"/>
  <c r="I744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I742" i="17"/>
  <c r="J742" i="17" s="1"/>
  <c r="I740" i="17"/>
  <c r="J740" i="17" s="1"/>
  <c r="I741" i="17"/>
  <c r="J741" i="17" s="1"/>
  <c r="I743" i="17"/>
  <c r="J743" i="17" s="1"/>
  <c r="I673" i="17"/>
  <c r="J673" i="17" s="1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I672" i="17"/>
  <c r="J672" i="17" s="1"/>
  <c r="I671" i="17"/>
  <c r="J671" i="17" s="1"/>
  <c r="I670" i="17"/>
  <c r="J670" i="17" s="1"/>
  <c r="I676" i="17"/>
  <c r="J676" i="17" s="1"/>
  <c r="I677" i="17"/>
  <c r="J677" i="17" s="1"/>
  <c r="I678" i="17"/>
  <c r="J678" i="17" s="1"/>
  <c r="I679" i="17"/>
  <c r="J679" i="17" s="1"/>
  <c r="I680" i="17"/>
  <c r="J680" i="17" s="1"/>
  <c r="I681" i="17"/>
  <c r="J681" i="17" s="1"/>
  <c r="I682" i="17"/>
  <c r="I683" i="17"/>
  <c r="J683" i="17" s="1"/>
  <c r="I684" i="17"/>
  <c r="J684" i="17" s="1"/>
  <c r="I685" i="17"/>
  <c r="J685" i="17" s="1"/>
  <c r="I686" i="17"/>
  <c r="J686" i="17" s="1"/>
  <c r="I687" i="17"/>
  <c r="J687" i="17" s="1"/>
  <c r="I688" i="17"/>
  <c r="J688" i="17" s="1"/>
  <c r="I689" i="17"/>
  <c r="I690" i="17"/>
  <c r="J690" i="17" s="1"/>
  <c r="I691" i="17"/>
  <c r="J691" i="17" s="1"/>
  <c r="I692" i="17"/>
  <c r="J692" i="17" s="1"/>
  <c r="I693" i="17"/>
  <c r="J693" i="17" s="1"/>
  <c r="I694" i="17"/>
  <c r="J694" i="17" s="1"/>
  <c r="I695" i="17"/>
  <c r="J695" i="17" s="1"/>
  <c r="I696" i="17"/>
  <c r="J696" i="17" s="1"/>
  <c r="I697" i="17"/>
  <c r="J697" i="17" s="1"/>
  <c r="I698" i="17"/>
  <c r="J698" i="17" s="1"/>
  <c r="I699" i="17"/>
  <c r="J699" i="17" s="1"/>
  <c r="I700" i="17"/>
  <c r="J700" i="17" s="1"/>
  <c r="I701" i="17"/>
  <c r="J701" i="17" s="1"/>
  <c r="I702" i="17"/>
  <c r="J702" i="17" s="1"/>
  <c r="I703" i="17"/>
  <c r="J703" i="17" s="1"/>
  <c r="I704" i="17"/>
  <c r="J704" i="17" s="1"/>
  <c r="I705" i="17"/>
  <c r="J705" i="17" s="1"/>
  <c r="I706" i="17"/>
  <c r="J706" i="17" s="1"/>
  <c r="I707" i="17"/>
  <c r="J707" i="17" s="1"/>
  <c r="I708" i="17"/>
  <c r="J708" i="17" s="1"/>
  <c r="I709" i="17"/>
  <c r="J709" i="17" s="1"/>
  <c r="I710" i="17"/>
  <c r="J710" i="17" s="1"/>
  <c r="I711" i="17"/>
  <c r="J711" i="17" s="1"/>
  <c r="I712" i="17"/>
  <c r="J712" i="17" s="1"/>
  <c r="I713" i="17"/>
  <c r="J713" i="17" s="1"/>
  <c r="I714" i="17"/>
  <c r="J714" i="17" s="1"/>
  <c r="I715" i="17"/>
  <c r="J715" i="17" s="1"/>
  <c r="I716" i="17"/>
  <c r="J716" i="17" s="1"/>
  <c r="I717" i="17"/>
  <c r="J717" i="17" s="1"/>
  <c r="I718" i="17"/>
  <c r="J718" i="17" s="1"/>
  <c r="I719" i="17"/>
  <c r="J719" i="17" s="1"/>
  <c r="I720" i="17"/>
  <c r="J720" i="17" s="1"/>
  <c r="I721" i="17"/>
  <c r="J721" i="17" s="1"/>
  <c r="I722" i="17"/>
  <c r="J722" i="17" s="1"/>
  <c r="I723" i="17"/>
  <c r="J723" i="17" s="1"/>
  <c r="I724" i="17"/>
  <c r="J724" i="17" s="1"/>
  <c r="I725" i="17"/>
  <c r="J725" i="17" s="1"/>
  <c r="I726" i="17"/>
  <c r="J726" i="17" s="1"/>
  <c r="I727" i="17"/>
  <c r="J727" i="17" s="1"/>
  <c r="I728" i="17"/>
  <c r="J728" i="17" s="1"/>
  <c r="I729" i="17"/>
  <c r="J729" i="17" s="1"/>
  <c r="I730" i="17"/>
  <c r="J730" i="17" s="1"/>
  <c r="I731" i="17"/>
  <c r="J731" i="17" s="1"/>
  <c r="I732" i="17"/>
  <c r="J732" i="17" s="1"/>
  <c r="I733" i="17"/>
  <c r="J733" i="17" s="1"/>
  <c r="I734" i="17"/>
  <c r="J734" i="17" s="1"/>
  <c r="I735" i="17"/>
  <c r="J735" i="17" s="1"/>
  <c r="I736" i="17"/>
  <c r="J736" i="17" s="1"/>
  <c r="I737" i="17"/>
  <c r="J737" i="17" s="1"/>
  <c r="I738" i="17"/>
  <c r="J738" i="17" s="1"/>
  <c r="I739" i="17"/>
  <c r="J739" i="17" s="1"/>
  <c r="I675" i="17"/>
  <c r="J675" i="17" s="1"/>
  <c r="I545" i="17"/>
  <c r="J545" i="17" s="1"/>
  <c r="I546" i="17"/>
  <c r="J546" i="17" s="1"/>
  <c r="I547" i="17"/>
  <c r="J547" i="17" s="1"/>
  <c r="I548" i="17"/>
  <c r="J548" i="17" s="1"/>
  <c r="J689" i="17"/>
  <c r="J682" i="17"/>
  <c r="J674" i="17"/>
  <c r="I543" i="17"/>
  <c r="J543" i="17" s="1"/>
  <c r="I525" i="17"/>
  <c r="J525" i="17" s="1"/>
  <c r="I524" i="17"/>
  <c r="J524" i="17" s="1"/>
  <c r="I531" i="17"/>
  <c r="J531" i="17" s="1"/>
  <c r="I530" i="17"/>
  <c r="J530" i="17" s="1"/>
  <c r="I292" i="17"/>
  <c r="J292" i="17" s="1"/>
  <c r="I293" i="17"/>
  <c r="J293" i="17" s="1"/>
  <c r="I288" i="17"/>
  <c r="J288" i="17" s="1"/>
  <c r="I289" i="17"/>
  <c r="J289" i="17" s="1"/>
  <c r="I290" i="17"/>
  <c r="J290" i="17" s="1"/>
  <c r="I291" i="17"/>
  <c r="J291" i="17" s="1"/>
  <c r="I532" i="17"/>
  <c r="I533" i="17"/>
  <c r="J533" i="17" s="1"/>
  <c r="I534" i="17"/>
  <c r="I535" i="17"/>
  <c r="J535" i="17" s="1"/>
  <c r="G152" i="17"/>
  <c r="I152" i="17" s="1"/>
  <c r="J152" i="17" s="1"/>
  <c r="G148" i="17"/>
  <c r="I148" i="17" s="1"/>
  <c r="J148" i="17" s="1"/>
  <c r="G138" i="17"/>
  <c r="I138" i="17" s="1"/>
  <c r="J138" i="17" s="1"/>
  <c r="G134" i="17"/>
  <c r="I134" i="17" s="1"/>
  <c r="J134" i="17" s="1"/>
  <c r="G100" i="17"/>
  <c r="I100" i="17" s="1"/>
  <c r="J100" i="17" s="1"/>
  <c r="G97" i="17"/>
  <c r="I97" i="17" s="1"/>
  <c r="J97" i="17" s="1"/>
  <c r="G95" i="17"/>
  <c r="G93" i="17"/>
  <c r="I93" i="17" s="1"/>
  <c r="J93" i="17" s="1"/>
  <c r="G90" i="17"/>
  <c r="G89" i="17"/>
  <c r="I89" i="17" s="1"/>
  <c r="J89" i="17" s="1"/>
  <c r="G88" i="17"/>
  <c r="I88" i="17" s="1"/>
  <c r="J88" i="17" s="1"/>
  <c r="G85" i="17"/>
  <c r="I85" i="17" s="1"/>
  <c r="J85" i="17" s="1"/>
  <c r="I3" i="17"/>
  <c r="J3" i="17" s="1"/>
  <c r="I4" i="17"/>
  <c r="J4" i="17" s="1"/>
  <c r="I5" i="17"/>
  <c r="J5" i="17" s="1"/>
  <c r="I6" i="17"/>
  <c r="J6" i="17" s="1"/>
  <c r="I7" i="17"/>
  <c r="J7" i="17" s="1"/>
  <c r="I8" i="17"/>
  <c r="J8" i="17" s="1"/>
  <c r="I9" i="17"/>
  <c r="J9" i="17" s="1"/>
  <c r="I10" i="17"/>
  <c r="J10" i="17" s="1"/>
  <c r="I11" i="17"/>
  <c r="J11" i="17" s="1"/>
  <c r="I12" i="17"/>
  <c r="J12" i="17" s="1"/>
  <c r="I13" i="17"/>
  <c r="J13" i="17" s="1"/>
  <c r="I14" i="17"/>
  <c r="J14" i="17" s="1"/>
  <c r="I15" i="17"/>
  <c r="J15" i="17" s="1"/>
  <c r="I16" i="17"/>
  <c r="J16" i="17" s="1"/>
  <c r="I17" i="17"/>
  <c r="J17" i="17" s="1"/>
  <c r="I18" i="17"/>
  <c r="J18" i="17" s="1"/>
  <c r="I19" i="17"/>
  <c r="J19" i="17" s="1"/>
  <c r="I20" i="17"/>
  <c r="J20" i="17" s="1"/>
  <c r="I21" i="17"/>
  <c r="J21" i="17" s="1"/>
  <c r="I22" i="17"/>
  <c r="J22" i="17" s="1"/>
  <c r="I23" i="17"/>
  <c r="J23" i="17" s="1"/>
  <c r="I24" i="17"/>
  <c r="J24" i="17" s="1"/>
  <c r="I25" i="17"/>
  <c r="J25" i="17" s="1"/>
  <c r="I26" i="17"/>
  <c r="J26" i="17" s="1"/>
  <c r="I27" i="17"/>
  <c r="J27" i="17" s="1"/>
  <c r="I28" i="17"/>
  <c r="J28" i="17" s="1"/>
  <c r="I29" i="17"/>
  <c r="J29" i="17" s="1"/>
  <c r="I30" i="17"/>
  <c r="J30" i="17" s="1"/>
  <c r="I31" i="17"/>
  <c r="J31" i="17" s="1"/>
  <c r="I32" i="17"/>
  <c r="J32" i="17" s="1"/>
  <c r="I33" i="17"/>
  <c r="J33" i="17" s="1"/>
  <c r="I34" i="17"/>
  <c r="J34" i="17" s="1"/>
  <c r="I35" i="17"/>
  <c r="J35" i="17" s="1"/>
  <c r="I36" i="17"/>
  <c r="J36" i="17" s="1"/>
  <c r="I37" i="17"/>
  <c r="J37" i="17" s="1"/>
  <c r="I38" i="17"/>
  <c r="J38" i="17" s="1"/>
  <c r="I39" i="17"/>
  <c r="J39" i="17" s="1"/>
  <c r="I40" i="17"/>
  <c r="J40" i="17" s="1"/>
  <c r="I41" i="17"/>
  <c r="J41" i="17" s="1"/>
  <c r="I42" i="17"/>
  <c r="J42" i="17" s="1"/>
  <c r="I43" i="17"/>
  <c r="J43" i="17" s="1"/>
  <c r="I44" i="17"/>
  <c r="J44" i="17" s="1"/>
  <c r="I45" i="17"/>
  <c r="J45" i="17" s="1"/>
  <c r="I46" i="17"/>
  <c r="J46" i="17" s="1"/>
  <c r="I47" i="17"/>
  <c r="J47" i="17" s="1"/>
  <c r="I48" i="17"/>
  <c r="J48" i="17" s="1"/>
  <c r="I49" i="17"/>
  <c r="J49" i="17" s="1"/>
  <c r="I50" i="17"/>
  <c r="J50" i="17" s="1"/>
  <c r="I51" i="17"/>
  <c r="J51" i="17" s="1"/>
  <c r="I52" i="17"/>
  <c r="J52" i="17" s="1"/>
  <c r="I53" i="17"/>
  <c r="J53" i="17" s="1"/>
  <c r="I54" i="17"/>
  <c r="J54" i="17" s="1"/>
  <c r="I55" i="17"/>
  <c r="J55" i="17" s="1"/>
  <c r="I56" i="17"/>
  <c r="J56" i="17" s="1"/>
  <c r="I57" i="17"/>
  <c r="J57" i="17" s="1"/>
  <c r="I58" i="17"/>
  <c r="J58" i="17" s="1"/>
  <c r="I59" i="17"/>
  <c r="J59" i="17" s="1"/>
  <c r="I60" i="17"/>
  <c r="J60" i="17" s="1"/>
  <c r="I61" i="17"/>
  <c r="J61" i="17" s="1"/>
  <c r="I62" i="17"/>
  <c r="J62" i="17" s="1"/>
  <c r="I63" i="17"/>
  <c r="J63" i="17" s="1"/>
  <c r="I64" i="17"/>
  <c r="J64" i="17" s="1"/>
  <c r="I429" i="17"/>
  <c r="J429" i="17" s="1"/>
  <c r="I430" i="17"/>
  <c r="J430" i="17" s="1"/>
  <c r="I431" i="17"/>
  <c r="J431" i="17" s="1"/>
  <c r="I432" i="17"/>
  <c r="J432" i="17" s="1"/>
  <c r="I433" i="17"/>
  <c r="J433" i="17" s="1"/>
  <c r="I434" i="17"/>
  <c r="J434" i="17" s="1"/>
  <c r="I435" i="17"/>
  <c r="J435" i="17" s="1"/>
  <c r="I436" i="17"/>
  <c r="J436" i="17" s="1"/>
  <c r="I437" i="17"/>
  <c r="J437" i="17" s="1"/>
  <c r="I438" i="17"/>
  <c r="J438" i="17" s="1"/>
  <c r="I439" i="17"/>
  <c r="J439" i="17" s="1"/>
  <c r="I440" i="17"/>
  <c r="J440" i="17" s="1"/>
  <c r="I441" i="17"/>
  <c r="J441" i="17" s="1"/>
  <c r="I442" i="17"/>
  <c r="J442" i="17" s="1"/>
  <c r="I443" i="17"/>
  <c r="J443" i="17" s="1"/>
  <c r="I444" i="17"/>
  <c r="J444" i="17" s="1"/>
  <c r="I445" i="17"/>
  <c r="J445" i="17" s="1"/>
  <c r="I446" i="17"/>
  <c r="J446" i="17" s="1"/>
  <c r="I447" i="17"/>
  <c r="J447" i="17" s="1"/>
  <c r="I448" i="17"/>
  <c r="J448" i="17" s="1"/>
  <c r="I449" i="17"/>
  <c r="J449" i="17" s="1"/>
  <c r="I450" i="17"/>
  <c r="J450" i="17" s="1"/>
  <c r="I451" i="17"/>
  <c r="J451" i="17" s="1"/>
  <c r="I452" i="17"/>
  <c r="J452" i="17" s="1"/>
  <c r="I453" i="17"/>
  <c r="J453" i="17" s="1"/>
  <c r="I454" i="17"/>
  <c r="J454" i="17" s="1"/>
  <c r="I455" i="17"/>
  <c r="J455" i="17" s="1"/>
  <c r="I456" i="17"/>
  <c r="J456" i="17" s="1"/>
  <c r="I457" i="17"/>
  <c r="J457" i="17" s="1"/>
  <c r="I458" i="17"/>
  <c r="J458" i="17" s="1"/>
  <c r="I459" i="17"/>
  <c r="J459" i="17" s="1"/>
  <c r="I460" i="17"/>
  <c r="J460" i="17" s="1"/>
  <c r="I461" i="17"/>
  <c r="J461" i="17" s="1"/>
  <c r="I462" i="17"/>
  <c r="J462" i="17" s="1"/>
  <c r="I463" i="17"/>
  <c r="J463" i="17" s="1"/>
  <c r="I464" i="17"/>
  <c r="J464" i="17" s="1"/>
  <c r="I465" i="17"/>
  <c r="J465" i="17" s="1"/>
  <c r="I466" i="17"/>
  <c r="J466" i="17" s="1"/>
  <c r="I467" i="17"/>
  <c r="J467" i="17" s="1"/>
  <c r="I468" i="17"/>
  <c r="J468" i="17" s="1"/>
  <c r="I469" i="17"/>
  <c r="J469" i="17" s="1"/>
  <c r="I470" i="17"/>
  <c r="J470" i="17" s="1"/>
  <c r="I471" i="17"/>
  <c r="J471" i="17" s="1"/>
  <c r="I472" i="17"/>
  <c r="J472" i="17" s="1"/>
  <c r="I473" i="17"/>
  <c r="J473" i="17" s="1"/>
  <c r="I474" i="17"/>
  <c r="J474" i="17" s="1"/>
  <c r="I475" i="17"/>
  <c r="J475" i="17" s="1"/>
  <c r="I476" i="17"/>
  <c r="J476" i="17" s="1"/>
  <c r="I478" i="17"/>
  <c r="J478" i="17" s="1"/>
  <c r="I479" i="17"/>
  <c r="J479" i="17" s="1"/>
  <c r="I480" i="17"/>
  <c r="J480" i="17" s="1"/>
  <c r="I481" i="17"/>
  <c r="J481" i="17" s="1"/>
  <c r="I482" i="17"/>
  <c r="J482" i="17" s="1"/>
  <c r="I483" i="17"/>
  <c r="J483" i="17" s="1"/>
  <c r="I484" i="17"/>
  <c r="J484" i="17" s="1"/>
  <c r="I485" i="17"/>
  <c r="J485" i="17" s="1"/>
  <c r="I486" i="17"/>
  <c r="J486" i="17" s="1"/>
  <c r="I487" i="17"/>
  <c r="J487" i="17" s="1"/>
  <c r="I488" i="17"/>
  <c r="J488" i="17" s="1"/>
  <c r="I489" i="17"/>
  <c r="J489" i="17" s="1"/>
  <c r="I490" i="17"/>
  <c r="J490" i="17" s="1"/>
  <c r="I491" i="17"/>
  <c r="J491" i="17" s="1"/>
  <c r="I492" i="17"/>
  <c r="J492" i="17" s="1"/>
  <c r="I493" i="17"/>
  <c r="J493" i="17" s="1"/>
  <c r="I494" i="17"/>
  <c r="J494" i="17" s="1"/>
  <c r="I495" i="17"/>
  <c r="J495" i="17" s="1"/>
  <c r="I496" i="17"/>
  <c r="J496" i="17" s="1"/>
  <c r="I497" i="17"/>
  <c r="J497" i="17" s="1"/>
  <c r="I498" i="17"/>
  <c r="J498" i="17" s="1"/>
  <c r="I499" i="17"/>
  <c r="J499" i="17" s="1"/>
  <c r="I500" i="17"/>
  <c r="J500" i="17" s="1"/>
  <c r="I501" i="17"/>
  <c r="J501" i="17" s="1"/>
  <c r="I502" i="17"/>
  <c r="J502" i="17" s="1"/>
  <c r="I503" i="17"/>
  <c r="J503" i="17" s="1"/>
  <c r="I504" i="17"/>
  <c r="J504" i="17" s="1"/>
  <c r="I505" i="17"/>
  <c r="J505" i="17" s="1"/>
  <c r="I506" i="17"/>
  <c r="J506" i="17" s="1"/>
  <c r="I507" i="17"/>
  <c r="J507" i="17" s="1"/>
  <c r="I508" i="17"/>
  <c r="J508" i="17" s="1"/>
  <c r="I509" i="17"/>
  <c r="J509" i="17" s="1"/>
  <c r="I510" i="17"/>
  <c r="J510" i="17" s="1"/>
  <c r="I511" i="17"/>
  <c r="J511" i="17" s="1"/>
  <c r="I512" i="17"/>
  <c r="J512" i="17" s="1"/>
  <c r="I513" i="17"/>
  <c r="J513" i="17" s="1"/>
  <c r="I539" i="17"/>
  <c r="J539" i="17" s="1"/>
  <c r="I540" i="17"/>
  <c r="J540" i="17" s="1"/>
  <c r="I541" i="17"/>
  <c r="J541" i="17" s="1"/>
  <c r="I542" i="17"/>
  <c r="J542" i="17" s="1"/>
  <c r="I544" i="17"/>
  <c r="J544" i="17" s="1"/>
  <c r="I538" i="17"/>
  <c r="J538" i="17" s="1"/>
  <c r="I283" i="17"/>
  <c r="J283" i="17" s="1"/>
  <c r="I284" i="17"/>
  <c r="J284" i="17" s="1"/>
  <c r="I285" i="17"/>
  <c r="J285" i="17" s="1"/>
  <c r="I286" i="17"/>
  <c r="J286" i="17" s="1"/>
  <c r="I287" i="17"/>
  <c r="J287" i="17" s="1"/>
  <c r="I282" i="17"/>
  <c r="J282" i="17" s="1"/>
  <c r="I295" i="17"/>
  <c r="J295" i="17" s="1"/>
  <c r="I296" i="17"/>
  <c r="J296" i="17" s="1"/>
  <c r="I297" i="17"/>
  <c r="J297" i="17" s="1"/>
  <c r="I298" i="17"/>
  <c r="J298" i="17" s="1"/>
  <c r="I299" i="17"/>
  <c r="J299" i="17" s="1"/>
  <c r="I300" i="17"/>
  <c r="J300" i="17" s="1"/>
  <c r="I294" i="17"/>
  <c r="J294" i="17" s="1"/>
  <c r="I208" i="17"/>
  <c r="J208" i="17" s="1"/>
  <c r="I355" i="17"/>
  <c r="J355" i="17" s="1"/>
  <c r="I320" i="17"/>
  <c r="J320" i="17" s="1"/>
  <c r="I321" i="17"/>
  <c r="J321" i="17" s="1"/>
  <c r="I322" i="17"/>
  <c r="J322" i="17" s="1"/>
  <c r="I323" i="17"/>
  <c r="J323" i="17" s="1"/>
  <c r="I324" i="17"/>
  <c r="J324" i="17" s="1"/>
  <c r="I325" i="17"/>
  <c r="J325" i="17" s="1"/>
  <c r="I326" i="17"/>
  <c r="J326" i="17" s="1"/>
  <c r="I327" i="17"/>
  <c r="J327" i="17" s="1"/>
  <c r="I328" i="17"/>
  <c r="J328" i="17" s="1"/>
  <c r="I329" i="17"/>
  <c r="J329" i="17" s="1"/>
  <c r="I330" i="17"/>
  <c r="J330" i="17" s="1"/>
  <c r="I331" i="17"/>
  <c r="J331" i="17" s="1"/>
  <c r="I332" i="17"/>
  <c r="J332" i="17" s="1"/>
  <c r="I333" i="17"/>
  <c r="J333" i="17" s="1"/>
  <c r="I334" i="17"/>
  <c r="J334" i="17" s="1"/>
  <c r="I335" i="17"/>
  <c r="J335" i="17" s="1"/>
  <c r="I336" i="17"/>
  <c r="J336" i="17" s="1"/>
  <c r="I337" i="17"/>
  <c r="J337" i="17" s="1"/>
  <c r="I338" i="17"/>
  <c r="J338" i="17" s="1"/>
  <c r="I339" i="17"/>
  <c r="J339" i="17" s="1"/>
  <c r="I340" i="17"/>
  <c r="J340" i="17" s="1"/>
  <c r="I341" i="17"/>
  <c r="J341" i="17" s="1"/>
  <c r="I342" i="17"/>
  <c r="J342" i="17" s="1"/>
  <c r="I343" i="17"/>
  <c r="J343" i="17" s="1"/>
  <c r="I344" i="17"/>
  <c r="J344" i="17" s="1"/>
  <c r="I345" i="17"/>
  <c r="J345" i="17" s="1"/>
  <c r="I346" i="17"/>
  <c r="J346" i="17" s="1"/>
  <c r="I347" i="17"/>
  <c r="J347" i="17" s="1"/>
  <c r="I348" i="17"/>
  <c r="J348" i="17" s="1"/>
  <c r="I349" i="17"/>
  <c r="J349" i="17" s="1"/>
  <c r="I350" i="17"/>
  <c r="J350" i="17" s="1"/>
  <c r="I351" i="17"/>
  <c r="J351" i="17" s="1"/>
  <c r="I352" i="17"/>
  <c r="J352" i="17" s="1"/>
  <c r="I353" i="17"/>
  <c r="J353" i="17" s="1"/>
  <c r="I354" i="17"/>
  <c r="J354" i="17" s="1"/>
  <c r="I356" i="17"/>
  <c r="J356" i="17" s="1"/>
  <c r="I357" i="17"/>
  <c r="J357" i="17" s="1"/>
  <c r="I358" i="17"/>
  <c r="J358" i="17" s="1"/>
  <c r="I359" i="17"/>
  <c r="J359" i="17" s="1"/>
  <c r="I360" i="17"/>
  <c r="J360" i="17" s="1"/>
  <c r="I361" i="17"/>
  <c r="J361" i="17" s="1"/>
  <c r="I362" i="17"/>
  <c r="J362" i="17" s="1"/>
  <c r="I363" i="17"/>
  <c r="J363" i="17" s="1"/>
  <c r="I364" i="17"/>
  <c r="J364" i="17" s="1"/>
  <c r="I365" i="17"/>
  <c r="J365" i="17" s="1"/>
  <c r="I366" i="17"/>
  <c r="J366" i="17" s="1"/>
  <c r="I367" i="17"/>
  <c r="J367" i="17" s="1"/>
  <c r="I368" i="17"/>
  <c r="J368" i="17" s="1"/>
  <c r="I369" i="17"/>
  <c r="J369" i="17" s="1"/>
  <c r="I370" i="17"/>
  <c r="J370" i="17" s="1"/>
  <c r="I371" i="17"/>
  <c r="J371" i="17" s="1"/>
  <c r="I372" i="17"/>
  <c r="J372" i="17" s="1"/>
  <c r="I373" i="17"/>
  <c r="J373" i="17" s="1"/>
  <c r="I374" i="17"/>
  <c r="J374" i="17" s="1"/>
  <c r="I375" i="17"/>
  <c r="J375" i="17" s="1"/>
  <c r="I376" i="17"/>
  <c r="J376" i="17" s="1"/>
  <c r="I377" i="17"/>
  <c r="J377" i="17" s="1"/>
  <c r="I378" i="17"/>
  <c r="J378" i="17" s="1"/>
  <c r="I379" i="17"/>
  <c r="J379" i="17" s="1"/>
  <c r="I380" i="17"/>
  <c r="J380" i="17" s="1"/>
  <c r="I381" i="17"/>
  <c r="J381" i="17" s="1"/>
  <c r="I382" i="17"/>
  <c r="J382" i="17" s="1"/>
  <c r="I383" i="17"/>
  <c r="J383" i="17" s="1"/>
  <c r="I384" i="17"/>
  <c r="J384" i="17" s="1"/>
  <c r="I385" i="17"/>
  <c r="J385" i="17" s="1"/>
  <c r="I386" i="17"/>
  <c r="J386" i="17" s="1"/>
  <c r="I387" i="17"/>
  <c r="J387" i="17" s="1"/>
  <c r="I388" i="17"/>
  <c r="J388" i="17" s="1"/>
  <c r="I389" i="17"/>
  <c r="J389" i="17" s="1"/>
  <c r="I390" i="17"/>
  <c r="J390" i="17" s="1"/>
  <c r="I391" i="17"/>
  <c r="J391" i="17" s="1"/>
  <c r="I392" i="17"/>
  <c r="J392" i="17" s="1"/>
  <c r="I393" i="17"/>
  <c r="J393" i="17" s="1"/>
  <c r="I394" i="17"/>
  <c r="J394" i="17" s="1"/>
  <c r="I395" i="17"/>
  <c r="J395" i="17" s="1"/>
  <c r="I396" i="17"/>
  <c r="J396" i="17" s="1"/>
  <c r="I397" i="17"/>
  <c r="J397" i="17" s="1"/>
  <c r="I398" i="17"/>
  <c r="J398" i="17" s="1"/>
  <c r="I399" i="17"/>
  <c r="J399" i="17" s="1"/>
  <c r="I400" i="17"/>
  <c r="J400" i="17" s="1"/>
  <c r="I401" i="17"/>
  <c r="J401" i="17" s="1"/>
  <c r="I402" i="17"/>
  <c r="J402" i="17" s="1"/>
  <c r="I403" i="17"/>
  <c r="J403" i="17" s="1"/>
  <c r="I404" i="17"/>
  <c r="J404" i="17" s="1"/>
  <c r="I405" i="17"/>
  <c r="J405" i="17" s="1"/>
  <c r="I406" i="17"/>
  <c r="J406" i="17" s="1"/>
  <c r="I407" i="17"/>
  <c r="J407" i="17" s="1"/>
  <c r="I408" i="17"/>
  <c r="J408" i="17" s="1"/>
  <c r="I409" i="17"/>
  <c r="J409" i="17" s="1"/>
  <c r="I410" i="17"/>
  <c r="J410" i="17" s="1"/>
  <c r="I411" i="17"/>
  <c r="J411" i="17" s="1"/>
  <c r="I412" i="17"/>
  <c r="J412" i="17" s="1"/>
  <c r="I413" i="17"/>
  <c r="J413" i="17" s="1"/>
  <c r="I414" i="17"/>
  <c r="J414" i="17" s="1"/>
  <c r="I415" i="17"/>
  <c r="J415" i="17" s="1"/>
  <c r="I416" i="17"/>
  <c r="J416" i="17" s="1"/>
  <c r="I417" i="17"/>
  <c r="J417" i="17" s="1"/>
  <c r="I418" i="17"/>
  <c r="J418" i="17" s="1"/>
  <c r="I419" i="17"/>
  <c r="J419" i="17" s="1"/>
  <c r="I420" i="17"/>
  <c r="J420" i="17" s="1"/>
  <c r="I421" i="17"/>
  <c r="J421" i="17" s="1"/>
  <c r="I422" i="17"/>
  <c r="J422" i="17" s="1"/>
  <c r="I423" i="17"/>
  <c r="J423" i="17" s="1"/>
  <c r="I424" i="17"/>
  <c r="J424" i="17" s="1"/>
  <c r="I425" i="17"/>
  <c r="J425" i="17" s="1"/>
  <c r="I426" i="17"/>
  <c r="J426" i="17" s="1"/>
  <c r="I427" i="17"/>
  <c r="J427" i="17" s="1"/>
  <c r="I70" i="17"/>
  <c r="J70" i="17" s="1"/>
  <c r="I67" i="17"/>
  <c r="J67" i="17" s="1"/>
  <c r="I68" i="17"/>
  <c r="J68" i="17" s="1"/>
  <c r="I69" i="17"/>
  <c r="J69" i="17" s="1"/>
  <c r="I71" i="17"/>
  <c r="J71" i="17" s="1"/>
  <c r="I72" i="17"/>
  <c r="J72" i="17" s="1"/>
  <c r="I73" i="17"/>
  <c r="J73" i="17" s="1"/>
  <c r="I74" i="17"/>
  <c r="J74" i="17" s="1"/>
  <c r="I75" i="17"/>
  <c r="J75" i="17" s="1"/>
  <c r="I318" i="17"/>
  <c r="J318" i="17" s="1"/>
  <c r="I319" i="17"/>
  <c r="J319" i="17" s="1"/>
  <c r="I66" i="17"/>
  <c r="J66" i="17" s="1"/>
  <c r="G477" i="17"/>
  <c r="I477" i="17" s="1"/>
  <c r="J477" i="17" s="1"/>
  <c r="I153" i="17"/>
  <c r="J153" i="17" s="1"/>
  <c r="I94" i="17"/>
  <c r="J94" i="17" s="1"/>
  <c r="I95" i="17"/>
  <c r="J95" i="17" s="1"/>
  <c r="I96" i="17"/>
  <c r="J96" i="17" s="1"/>
  <c r="I98" i="17"/>
  <c r="J98" i="17" s="1"/>
  <c r="I99" i="17"/>
  <c r="J99" i="17" s="1"/>
  <c r="I154" i="17"/>
  <c r="J154" i="17" s="1"/>
  <c r="I101" i="17"/>
  <c r="J101" i="17" s="1"/>
  <c r="I102" i="17"/>
  <c r="J102" i="17" s="1"/>
  <c r="I103" i="17"/>
  <c r="J103" i="17" s="1"/>
  <c r="I104" i="17"/>
  <c r="J104" i="17" s="1"/>
  <c r="I105" i="17"/>
  <c r="J105" i="17" s="1"/>
  <c r="I106" i="17"/>
  <c r="J106" i="17" s="1"/>
  <c r="I107" i="17"/>
  <c r="J107" i="17" s="1"/>
  <c r="I108" i="17"/>
  <c r="J108" i="17" s="1"/>
  <c r="I109" i="17"/>
  <c r="J109" i="17" s="1"/>
  <c r="I110" i="17"/>
  <c r="J110" i="17" s="1"/>
  <c r="I111" i="17"/>
  <c r="J111" i="17" s="1"/>
  <c r="I155" i="17"/>
  <c r="J155" i="17" s="1"/>
  <c r="I112" i="17"/>
  <c r="J112" i="17" s="1"/>
  <c r="I113" i="17"/>
  <c r="J113" i="17" s="1"/>
  <c r="I114" i="17"/>
  <c r="J114" i="17" s="1"/>
  <c r="I115" i="17"/>
  <c r="J115" i="17" s="1"/>
  <c r="I116" i="17"/>
  <c r="J116" i="17" s="1"/>
  <c r="I117" i="17"/>
  <c r="J117" i="17" s="1"/>
  <c r="I118" i="17"/>
  <c r="J118" i="17" s="1"/>
  <c r="I119" i="17"/>
  <c r="J119" i="17" s="1"/>
  <c r="I120" i="17"/>
  <c r="J120" i="17" s="1"/>
  <c r="I121" i="17"/>
  <c r="J121" i="17" s="1"/>
  <c r="I122" i="17"/>
  <c r="J122" i="17" s="1"/>
  <c r="I123" i="17"/>
  <c r="J123" i="17" s="1"/>
  <c r="I124" i="17"/>
  <c r="J124" i="17" s="1"/>
  <c r="I125" i="17"/>
  <c r="J125" i="17" s="1"/>
  <c r="I126" i="17"/>
  <c r="J126" i="17" s="1"/>
  <c r="I127" i="17"/>
  <c r="J127" i="17" s="1"/>
  <c r="I128" i="17"/>
  <c r="J128" i="17" s="1"/>
  <c r="I129" i="17"/>
  <c r="J129" i="17" s="1"/>
  <c r="I130" i="17"/>
  <c r="J130" i="17" s="1"/>
  <c r="I131" i="17"/>
  <c r="J131" i="17" s="1"/>
  <c r="I132" i="17"/>
  <c r="J132" i="17" s="1"/>
  <c r="I133" i="17"/>
  <c r="J133" i="17" s="1"/>
  <c r="I156" i="17"/>
  <c r="J156" i="17" s="1"/>
  <c r="I135" i="17"/>
  <c r="J135" i="17" s="1"/>
  <c r="I136" i="17"/>
  <c r="J136" i="17" s="1"/>
  <c r="I137" i="17"/>
  <c r="J137" i="17" s="1"/>
  <c r="I139" i="17"/>
  <c r="J139" i="17" s="1"/>
  <c r="I140" i="17"/>
  <c r="J140" i="17" s="1"/>
  <c r="I141" i="17"/>
  <c r="J141" i="17" s="1"/>
  <c r="I142" i="17"/>
  <c r="J142" i="17" s="1"/>
  <c r="I143" i="17"/>
  <c r="J143" i="17" s="1"/>
  <c r="I144" i="17"/>
  <c r="J144" i="17" s="1"/>
  <c r="I145" i="17"/>
  <c r="J145" i="17" s="1"/>
  <c r="I146" i="17"/>
  <c r="J146" i="17" s="1"/>
  <c r="I147" i="17"/>
  <c r="J147" i="17" s="1"/>
  <c r="I149" i="17"/>
  <c r="J149" i="17" s="1"/>
  <c r="I150" i="17"/>
  <c r="J150" i="17" s="1"/>
  <c r="I151" i="17"/>
  <c r="J151" i="17" s="1"/>
  <c r="I157" i="17"/>
  <c r="J157" i="17" s="1"/>
  <c r="I301" i="17"/>
  <c r="J301" i="17" s="1"/>
  <c r="I302" i="17"/>
  <c r="J302" i="17" s="1"/>
  <c r="I303" i="17"/>
  <c r="J303" i="17" s="1"/>
  <c r="I304" i="17"/>
  <c r="J304" i="17" s="1"/>
  <c r="I305" i="17"/>
  <c r="J305" i="17" s="1"/>
  <c r="I306" i="17"/>
  <c r="J306" i="17" s="1"/>
  <c r="I307" i="17"/>
  <c r="J307" i="17" s="1"/>
  <c r="I308" i="17"/>
  <c r="J308" i="17" s="1"/>
  <c r="I309" i="17"/>
  <c r="J309" i="17" s="1"/>
  <c r="I310" i="17"/>
  <c r="J310" i="17" s="1"/>
  <c r="I311" i="17"/>
  <c r="J311" i="17" s="1"/>
  <c r="I312" i="17"/>
  <c r="J312" i="17" s="1"/>
  <c r="I313" i="17"/>
  <c r="J313" i="17" s="1"/>
  <c r="I314" i="17"/>
  <c r="J314" i="17" s="1"/>
  <c r="I315" i="17"/>
  <c r="J315" i="17" s="1"/>
  <c r="I316" i="17"/>
  <c r="J316" i="17" s="1"/>
  <c r="I317" i="17"/>
  <c r="J317" i="17" s="1"/>
  <c r="I521" i="17"/>
  <c r="J521" i="17" s="1"/>
  <c r="I536" i="17"/>
  <c r="J536" i="17" s="1"/>
  <c r="I537" i="17"/>
  <c r="J537" i="17" s="1"/>
  <c r="I167" i="17"/>
  <c r="J167" i="17" s="1"/>
  <c r="I166" i="17"/>
  <c r="J166" i="17" s="1"/>
  <c r="I172" i="17"/>
  <c r="J172" i="17" s="1"/>
  <c r="I171" i="17"/>
  <c r="J171" i="17" s="1"/>
  <c r="I170" i="17"/>
  <c r="J170" i="17" s="1"/>
  <c r="I169" i="17"/>
  <c r="J169" i="17" s="1"/>
  <c r="I168" i="17"/>
  <c r="J168" i="17" s="1"/>
  <c r="I165" i="17"/>
  <c r="J165" i="17" s="1"/>
  <c r="I164" i="17"/>
  <c r="J164" i="17" s="1"/>
  <c r="I163" i="17"/>
  <c r="J163" i="17" s="1"/>
  <c r="I162" i="17"/>
  <c r="J162" i="17" s="1"/>
  <c r="I161" i="17"/>
  <c r="J161" i="17" s="1"/>
  <c r="I160" i="17"/>
  <c r="J160" i="17" s="1"/>
  <c r="I159" i="17"/>
  <c r="J159" i="17" s="1"/>
  <c r="I158" i="17"/>
  <c r="J158" i="17" s="1"/>
  <c r="I209" i="17"/>
  <c r="J209" i="17" s="1"/>
  <c r="I210" i="17"/>
  <c r="J210" i="17" s="1"/>
  <c r="I211" i="17"/>
  <c r="J211" i="17" s="1"/>
  <c r="I212" i="17"/>
  <c r="J212" i="17" s="1"/>
  <c r="I65" i="17"/>
  <c r="J65" i="17" s="1"/>
  <c r="I518" i="17"/>
  <c r="J518" i="17" s="1"/>
  <c r="I213" i="17"/>
  <c r="J213" i="17" s="1"/>
  <c r="I214" i="17"/>
  <c r="J214" i="17" s="1"/>
  <c r="I215" i="17"/>
  <c r="J215" i="17" s="1"/>
  <c r="I216" i="17"/>
  <c r="J216" i="17" s="1"/>
  <c r="I217" i="17"/>
  <c r="J217" i="17" s="1"/>
  <c r="I218" i="17"/>
  <c r="J218" i="17" s="1"/>
  <c r="I219" i="17"/>
  <c r="J219" i="17" s="1"/>
  <c r="I220" i="17"/>
  <c r="J220" i="17" s="1"/>
  <c r="I221" i="17"/>
  <c r="J221" i="17" s="1"/>
  <c r="I222" i="17"/>
  <c r="J222" i="17" s="1"/>
  <c r="I223" i="17"/>
  <c r="J223" i="17" s="1"/>
  <c r="I224" i="17"/>
  <c r="J224" i="17" s="1"/>
  <c r="I225" i="17"/>
  <c r="J225" i="17" s="1"/>
  <c r="I226" i="17"/>
  <c r="J226" i="17" s="1"/>
  <c r="I227" i="17"/>
  <c r="J227" i="17" s="1"/>
  <c r="I228" i="17"/>
  <c r="J228" i="17" s="1"/>
  <c r="I229" i="17"/>
  <c r="J229" i="17" s="1"/>
  <c r="I230" i="17"/>
  <c r="J230" i="17" s="1"/>
  <c r="I231" i="17"/>
  <c r="J231" i="17" s="1"/>
  <c r="I232" i="17"/>
  <c r="J232" i="17" s="1"/>
  <c r="I233" i="17"/>
  <c r="J233" i="17" s="1"/>
  <c r="I234" i="17"/>
  <c r="J234" i="17" s="1"/>
  <c r="I235" i="17"/>
  <c r="J235" i="17" s="1"/>
  <c r="I236" i="17"/>
  <c r="J236" i="17" s="1"/>
  <c r="I237" i="17"/>
  <c r="J237" i="17" s="1"/>
  <c r="I238" i="17"/>
  <c r="J238" i="17" s="1"/>
  <c r="I239" i="17"/>
  <c r="J239" i="17" s="1"/>
  <c r="I240" i="17"/>
  <c r="J240" i="17" s="1"/>
  <c r="I241" i="17"/>
  <c r="J241" i="17" s="1"/>
  <c r="I242" i="17"/>
  <c r="J242" i="17" s="1"/>
  <c r="I243" i="17"/>
  <c r="J243" i="17" s="1"/>
  <c r="I244" i="17"/>
  <c r="J244" i="17" s="1"/>
  <c r="I245" i="17"/>
  <c r="J245" i="17" s="1"/>
  <c r="I246" i="17"/>
  <c r="J246" i="17" s="1"/>
  <c r="I247" i="17"/>
  <c r="J247" i="17" s="1"/>
  <c r="I248" i="17"/>
  <c r="J248" i="17" s="1"/>
  <c r="I249" i="17"/>
  <c r="J249" i="17" s="1"/>
  <c r="I250" i="17"/>
  <c r="J250" i="17" s="1"/>
  <c r="I251" i="17"/>
  <c r="J251" i="17" s="1"/>
  <c r="I252" i="17"/>
  <c r="J252" i="17" s="1"/>
  <c r="I253" i="17"/>
  <c r="J253" i="17" s="1"/>
  <c r="I254" i="17"/>
  <c r="J254" i="17" s="1"/>
  <c r="I255" i="17"/>
  <c r="J255" i="17" s="1"/>
  <c r="I256" i="17"/>
  <c r="J256" i="17" s="1"/>
  <c r="I257" i="17"/>
  <c r="J257" i="17" s="1"/>
  <c r="I258" i="17"/>
  <c r="J258" i="17" s="1"/>
  <c r="I259" i="17"/>
  <c r="J259" i="17" s="1"/>
  <c r="I260" i="17"/>
  <c r="J260" i="17" s="1"/>
  <c r="I261" i="17"/>
  <c r="J261" i="17" s="1"/>
  <c r="I262" i="17"/>
  <c r="J262" i="17" s="1"/>
  <c r="I263" i="17"/>
  <c r="J263" i="17" s="1"/>
  <c r="I264" i="17"/>
  <c r="J264" i="17" s="1"/>
  <c r="I265" i="17"/>
  <c r="J265" i="17" s="1"/>
  <c r="I266" i="17"/>
  <c r="J266" i="17" s="1"/>
  <c r="I267" i="17"/>
  <c r="J267" i="17" s="1"/>
  <c r="I268" i="17"/>
  <c r="J268" i="17" s="1"/>
  <c r="I269" i="17"/>
  <c r="J269" i="17" s="1"/>
  <c r="I270" i="17"/>
  <c r="J270" i="17" s="1"/>
  <c r="I271" i="17"/>
  <c r="J271" i="17" s="1"/>
  <c r="I272" i="17"/>
  <c r="J272" i="17" s="1"/>
  <c r="I273" i="17"/>
  <c r="J273" i="17" s="1"/>
  <c r="I274" i="17"/>
  <c r="J274" i="17" s="1"/>
  <c r="I275" i="17"/>
  <c r="J275" i="17" s="1"/>
  <c r="I276" i="17"/>
  <c r="J276" i="17" s="1"/>
  <c r="I277" i="17"/>
  <c r="J277" i="17" s="1"/>
  <c r="I278" i="17"/>
  <c r="J278" i="17" s="1"/>
  <c r="I279" i="17"/>
  <c r="J279" i="17" s="1"/>
  <c r="I280" i="17"/>
  <c r="J280" i="17" s="1"/>
  <c r="I281" i="17"/>
  <c r="J281" i="17" s="1"/>
  <c r="I173" i="17"/>
  <c r="J173" i="17" s="1"/>
  <c r="I177" i="17"/>
  <c r="J177" i="17" s="1"/>
  <c r="I178" i="17"/>
  <c r="J178" i="17" s="1"/>
  <c r="I179" i="17"/>
  <c r="J179" i="17" s="1"/>
  <c r="I180" i="17"/>
  <c r="J180" i="17" s="1"/>
  <c r="I181" i="17"/>
  <c r="J181" i="17" s="1"/>
  <c r="I182" i="17"/>
  <c r="J182" i="17" s="1"/>
  <c r="I183" i="17"/>
  <c r="J183" i="17" s="1"/>
  <c r="I184" i="17"/>
  <c r="J184" i="17" s="1"/>
  <c r="I185" i="17"/>
  <c r="J185" i="17" s="1"/>
  <c r="I186" i="17"/>
  <c r="J186" i="17" s="1"/>
  <c r="I187" i="17"/>
  <c r="J187" i="17" s="1"/>
  <c r="I188" i="17"/>
  <c r="J188" i="17" s="1"/>
  <c r="I189" i="17"/>
  <c r="J189" i="17" s="1"/>
  <c r="I190" i="17"/>
  <c r="J190" i="17" s="1"/>
  <c r="I191" i="17"/>
  <c r="J191" i="17" s="1"/>
  <c r="I192" i="17"/>
  <c r="J192" i="17" s="1"/>
  <c r="I193" i="17"/>
  <c r="J193" i="17" s="1"/>
  <c r="I194" i="17"/>
  <c r="J194" i="17" s="1"/>
  <c r="I195" i="17"/>
  <c r="J195" i="17" s="1"/>
  <c r="I196" i="17"/>
  <c r="J196" i="17" s="1"/>
  <c r="I197" i="17"/>
  <c r="J197" i="17" s="1"/>
  <c r="I198" i="17"/>
  <c r="J198" i="17" s="1"/>
  <c r="I199" i="17"/>
  <c r="J199" i="17" s="1"/>
  <c r="I200" i="17"/>
  <c r="J200" i="17" s="1"/>
  <c r="I201" i="17"/>
  <c r="J201" i="17" s="1"/>
  <c r="I202" i="17"/>
  <c r="J202" i="17" s="1"/>
  <c r="I203" i="17"/>
  <c r="J203" i="17" s="1"/>
  <c r="I204" i="17"/>
  <c r="J204" i="17" s="1"/>
  <c r="I205" i="17"/>
  <c r="J205" i="17" s="1"/>
  <c r="I206" i="17"/>
  <c r="J206" i="17" s="1"/>
  <c r="I174" i="17"/>
  <c r="J174" i="17" s="1"/>
  <c r="I428" i="17"/>
  <c r="J428" i="17" s="1"/>
  <c r="I175" i="17"/>
  <c r="J175" i="17" s="1"/>
  <c r="I522" i="17"/>
  <c r="J522" i="17" s="1"/>
  <c r="I2" i="17"/>
  <c r="J2" i="17" s="1"/>
  <c r="I176" i="17"/>
  <c r="J176" i="17" s="1"/>
  <c r="I523" i="17"/>
  <c r="J523" i="17" s="1"/>
  <c r="I517" i="17"/>
  <c r="J517" i="17" s="1"/>
  <c r="I526" i="17"/>
  <c r="J526" i="17" s="1"/>
  <c r="I527" i="17"/>
  <c r="J527" i="17" s="1"/>
  <c r="I514" i="17"/>
  <c r="J514" i="17" s="1"/>
  <c r="I528" i="17"/>
  <c r="J528" i="17" s="1"/>
  <c r="I529" i="17"/>
  <c r="J529" i="17" s="1"/>
  <c r="I515" i="17"/>
  <c r="J515" i="17" s="1"/>
  <c r="I516" i="17"/>
  <c r="J516" i="17" s="1"/>
  <c r="I207" i="17"/>
  <c r="J207" i="17" s="1"/>
  <c r="I76" i="17"/>
  <c r="J76" i="17" s="1"/>
  <c r="I77" i="17"/>
  <c r="J77" i="17" s="1"/>
  <c r="I78" i="17"/>
  <c r="J78" i="17" s="1"/>
  <c r="I79" i="17"/>
  <c r="J79" i="17" s="1"/>
  <c r="I80" i="17"/>
  <c r="J80" i="17" s="1"/>
  <c r="I81" i="17"/>
  <c r="J81" i="17" s="1"/>
  <c r="I82" i="17"/>
  <c r="J82" i="17" s="1"/>
  <c r="I83" i="17"/>
  <c r="J83" i="17" s="1"/>
  <c r="I84" i="17"/>
  <c r="J84" i="17" s="1"/>
  <c r="I86" i="17"/>
  <c r="J86" i="17" s="1"/>
  <c r="I87" i="17"/>
  <c r="J87" i="17" s="1"/>
  <c r="I90" i="17"/>
  <c r="J90" i="17" s="1"/>
  <c r="I91" i="17"/>
  <c r="J91" i="17" s="1"/>
  <c r="I92" i="17"/>
  <c r="J92" i="17" s="1"/>
  <c r="J744" i="17" l="1"/>
</calcChain>
</file>

<file path=xl/sharedStrings.xml><?xml version="1.0" encoding="utf-8"?>
<sst xmlns="http://schemas.openxmlformats.org/spreadsheetml/2006/main" count="5923" uniqueCount="1844">
  <si>
    <t>Group</t>
  </si>
  <si>
    <t>Nama Hotel</t>
  </si>
  <si>
    <t>Status</t>
  </si>
  <si>
    <t>Done</t>
  </si>
  <si>
    <t>Archipelago</t>
  </si>
  <si>
    <t>Hilton Garden Inn Bali Nusa Dua</t>
  </si>
  <si>
    <t>IHG</t>
  </si>
  <si>
    <t>Individu</t>
  </si>
  <si>
    <t>Hotel Mulia Senayan</t>
  </si>
  <si>
    <t>Vasa Hotel Surabaya</t>
  </si>
  <si>
    <t>Hyatt Place Makassar</t>
  </si>
  <si>
    <t>PO Hotel Semarang</t>
  </si>
  <si>
    <t>Ascott</t>
  </si>
  <si>
    <t>Fraser Residence Menteng Jakarta</t>
  </si>
  <si>
    <t>Fairfield by Marriott Bekasi</t>
  </si>
  <si>
    <t>Grand Mercure Medan Angkasa</t>
  </si>
  <si>
    <t>Ascott Menteng Jakarta</t>
  </si>
  <si>
    <t>Marriot</t>
  </si>
  <si>
    <t>Aloft Surabaya Pakuwon City</t>
  </si>
  <si>
    <t>Harris Hotel &amp; Suites Nagoya Batam</t>
  </si>
  <si>
    <t>No</t>
  </si>
  <si>
    <t>Group/ Non Group</t>
  </si>
  <si>
    <t>City</t>
  </si>
  <si>
    <t>Email</t>
  </si>
  <si>
    <t>Nilai Selisih</t>
  </si>
  <si>
    <t>Result</t>
  </si>
  <si>
    <t>Next Action</t>
  </si>
  <si>
    <t>Checking Remarks</t>
  </si>
  <si>
    <t>ari.hermawan@marriott.com</t>
  </si>
  <si>
    <t>Sign Kontrak</t>
  </si>
  <si>
    <t>Bali</t>
  </si>
  <si>
    <t>hilda.priyatni@the-ascott.com</t>
  </si>
  <si>
    <t>Harris Hotel Samarinda</t>
  </si>
  <si>
    <t>Accor Group</t>
  </si>
  <si>
    <t>Superior room</t>
  </si>
  <si>
    <t>Deluxe</t>
  </si>
  <si>
    <t>Deluxe Room</t>
  </si>
  <si>
    <t>Superior</t>
  </si>
  <si>
    <t>Nama Group/ Non Group</t>
  </si>
  <si>
    <t>Publish Rate</t>
  </si>
  <si>
    <t>Offering Corporate Rate 2026</t>
  </si>
  <si>
    <t>Ibis style jakarta tanah abang</t>
  </si>
  <si>
    <t>ssm@ibisstyles-jakarta-tanahabang.com</t>
  </si>
  <si>
    <t>superior room 2 pax with breakfast</t>
  </si>
  <si>
    <t>Ibis Styles Jakarta Sunter</t>
  </si>
  <si>
    <t>sm@ibisstyles-jakarta-sunter.com</t>
  </si>
  <si>
    <t>MERCURE JAKARTA GATOT SUBROTO</t>
  </si>
  <si>
    <t>dos@mercure-jakarta-gatotsubroto.com</t>
  </si>
  <si>
    <t xml:space="preserve">Superior Room </t>
  </si>
  <si>
    <t>Movenpick Resort &amp; Spa Bintan Lagoon</t>
  </si>
  <si>
    <t>melly.ROSA@movenpick.com</t>
  </si>
  <si>
    <t>Deluxe Garden View</t>
  </si>
  <si>
    <t>Nusa Dua Beach Hotel &amp; Spa Handwritten Collection</t>
  </si>
  <si>
    <t>eka.tresna@accor.com</t>
  </si>
  <si>
    <t>Novotel Bali Benoa</t>
  </si>
  <si>
    <t xml:space="preserve">Chandra.MAHAPUTRA@accor.com </t>
  </si>
  <si>
    <t>ibis Styles Medan Pattimura</t>
  </si>
  <si>
    <t>sm01@ibisstyles-medan-pattimura.com</t>
  </si>
  <si>
    <t>Ibis Styles Bogor Pajajaran</t>
  </si>
  <si>
    <t>sm1@ibisstyles-bogor-pajajaran.com</t>
  </si>
  <si>
    <t>Deluxe Queen/Twin</t>
  </si>
  <si>
    <t>Novotel Bali Nusa Dua</t>
  </si>
  <si>
    <t>Wisnu.NUSANTORO@accor.com</t>
  </si>
  <si>
    <t>Mercure samarinda</t>
  </si>
  <si>
    <t>dos@mercure-samarinda.com</t>
  </si>
  <si>
    <t>Grand Mercure Bali Seminyak</t>
  </si>
  <si>
    <t>deta.aprilia@accor.com</t>
  </si>
  <si>
    <t>All Deluxe</t>
  </si>
  <si>
    <t xml:space="preserve">Movenpick Hotel Surabaya City </t>
  </si>
  <si>
    <t> </t>
  </si>
  <si>
    <t>Novotel Jakarta Mangga Dua</t>
  </si>
  <si>
    <t>yolanda.ARITONANG@accor.com</t>
  </si>
  <si>
    <t>Ibis Styles BSD Serpong City</t>
  </si>
  <si>
    <t>se4@ibisstyles-serpong-bsdcity.com</t>
  </si>
  <si>
    <t>Novotel Jakarta Cikini</t>
  </si>
  <si>
    <t>Triana.SURYATI@accor.com</t>
  </si>
  <si>
    <t>NOVOTEL SEMARANG</t>
  </si>
  <si>
    <t>ados@novotelsemarang.com</t>
  </si>
  <si>
    <t>Standard Single / Twin</t>
  </si>
  <si>
    <t>Mercure Serpong Alam Sutera</t>
  </si>
  <si>
    <t>salesmarketing@mercureserpongalamsutera.com</t>
  </si>
  <si>
    <t>Superior Room</t>
  </si>
  <si>
    <t>Novotel Bali Ubud Resort</t>
  </si>
  <si>
    <t>HA222@Accor.com</t>
  </si>
  <si>
    <t>Swissotel Nusantara</t>
  </si>
  <si>
    <t>yanti.lim@swissotel.com</t>
  </si>
  <si>
    <t xml:space="preserve">Mercure Jakarta Pantai Indah Kapuk </t>
  </si>
  <si>
    <t>Octavia.WIDHASARI@accor.com</t>
  </si>
  <si>
    <t xml:space="preserve">Mercure Bali Sanur Resort </t>
  </si>
  <si>
    <t>sales1@mercureresortsanur.com</t>
  </si>
  <si>
    <t>Swissôtel Jakarta PIK Avenue</t>
  </si>
  <si>
    <t>Hana.RENATA@accor.com /
Joshua.RIZKY@accor.com</t>
  </si>
  <si>
    <t>Premier Room</t>
  </si>
  <si>
    <t>NOVOTEL BALIKPAPAN</t>
  </si>
  <si>
    <t>sales1@novotelbalikpapan.com</t>
  </si>
  <si>
    <t>Superior King/Twin</t>
  </si>
  <si>
    <t>IBIS BALIKPAPAN</t>
  </si>
  <si>
    <t>Standart Single/Double</t>
  </si>
  <si>
    <t>Mercure Jakarta Kota</t>
  </si>
  <si>
    <t>dos@mercure-jakarta-kota.com</t>
  </si>
  <si>
    <t>Superior Single / Twin</t>
  </si>
  <si>
    <t xml:space="preserve">Pullman Bandung Grand Central </t>
  </si>
  <si>
    <t>lengga.yohanida@accor.com</t>
  </si>
  <si>
    <t xml:space="preserve">ibis Styles Bandung Grand Central </t>
  </si>
  <si>
    <t xml:space="preserve">Superior Double </t>
  </si>
  <si>
    <t>The Kuta Beach Heritage Hotel Bali Managed by ACCOR</t>
  </si>
  <si>
    <t>made.SUBAGA@ACCOR.COM</t>
  </si>
  <si>
    <t xml:space="preserve">Classic Heritage Room </t>
  </si>
  <si>
    <t>Novotel Jakarta Pulomas</t>
  </si>
  <si>
    <t>hc252@accor.com</t>
  </si>
  <si>
    <t>The Tribe Bali Kuta Beach</t>
  </si>
  <si>
    <t>sm5@tribe-bali-kutabeach.com</t>
  </si>
  <si>
    <t>tribe comfort balcony</t>
  </si>
  <si>
    <t>Mercure Hotel Karawang</t>
  </si>
  <si>
    <t>se@mercure-karawang.com</t>
  </si>
  <si>
    <t>ibis Bandung Trans Studio</t>
  </si>
  <si>
    <t>yustia.tyas@ibisbandungtransstudio.com</t>
  </si>
  <si>
    <t>Standard Room</t>
  </si>
  <si>
    <t>Mövenpick Resort &amp; Spa Jimbaran Bali</t>
  </si>
  <si>
    <t>Richard.POSUMAH@accor.com</t>
  </si>
  <si>
    <t xml:space="preserve">Classic Room </t>
  </si>
  <si>
    <t xml:space="preserve">NOVOTEL PONTIANAK CONVENTION CENTRE </t>
  </si>
  <si>
    <t>Lidwina.KUSUMA@accor.com</t>
  </si>
  <si>
    <t>Mercure Jakarta Ancol Convention Center</t>
  </si>
  <si>
    <t>sm1@mercureconvention.com</t>
  </si>
  <si>
    <t>SUPERIOR</t>
  </si>
  <si>
    <t xml:space="preserve">Novotel  YIA Kulon Progo </t>
  </si>
  <si>
    <t>balqis.NURFIRDAUS@accor.com</t>
  </si>
  <si>
    <t>25hours Hotel Jakarta The Oddbird</t>
  </si>
  <si>
    <t>reza.kusuma@25hours-hotels.com</t>
  </si>
  <si>
    <t>Medium</t>
  </si>
  <si>
    <t>Raffles Jakarta</t>
  </si>
  <si>
    <t>damar.pamungkas@raffles.com</t>
  </si>
  <si>
    <t>Novotel Palembang Hotel and Residence</t>
  </si>
  <si>
    <t>dos@novotelpalembang.com</t>
  </si>
  <si>
    <t xml:space="preserve">NOVOTEL SUITES YOGYAKARTA MALIOBORO </t>
  </si>
  <si>
    <t>sales3@novotelsuites-yogyakarta-malioboro.com</t>
  </si>
  <si>
    <t>Pullman Bali Legian Beach</t>
  </si>
  <si>
    <t xml:space="preserve">jso@pullmanbalilegianbeach.com </t>
  </si>
  <si>
    <t>Deluxe Garden Room</t>
  </si>
  <si>
    <t>NOVOTEL BOGOR GOLF RESORT AND CONVENTION CENTER</t>
  </si>
  <si>
    <t>sm1@novotel-bogor.com</t>
  </si>
  <si>
    <t>Classic Room</t>
  </si>
  <si>
    <t>IBIS STYLES BOGOR RAYA</t>
  </si>
  <si>
    <t>MERCURE JAKARTA SABANG</t>
  </si>
  <si>
    <t>dos@mercure-jakarta-sabang.com</t>
  </si>
  <si>
    <t>Pullman Ciawi Vimala Hills</t>
  </si>
  <si>
    <t>sl1@pullman-ciawi-vimalahills.com</t>
  </si>
  <si>
    <t>GRANDMERCURE LAMPUNG</t>
  </si>
  <si>
    <t>chinda.febrina@accor.com</t>
  </si>
  <si>
    <t xml:space="preserve">Superior </t>
  </si>
  <si>
    <t>Ibis Styles Jakarta Simatupang</t>
  </si>
  <si>
    <t>hotel.sales1@ibisstyles-jakarta-simatupang.com</t>
  </si>
  <si>
    <t>superior room</t>
  </si>
  <si>
    <t>MERCURE BALI NUSA DUA HOTEL</t>
  </si>
  <si>
    <t>dayu.sulitriasih@accor.com</t>
  </si>
  <si>
    <t>Pullman Jakarta Indonesia Thamrin CBD</t>
  </si>
  <si>
    <t>vanessa.christy@accor.com; benny.pasha@accor.com</t>
  </si>
  <si>
    <t xml:space="preserve">Swissotel Living Jakarta Mega Kuningan </t>
  </si>
  <si>
    <t xml:space="preserve">fatimah.fatimah@accor.com </t>
  </si>
  <si>
    <t>Hotel Majapahit Surabaya - MGallery Hotel Collection</t>
  </si>
  <si>
    <t>dos@hotel-majapahit.com</t>
  </si>
  <si>
    <t>Classic</t>
  </si>
  <si>
    <t xml:space="preserve">Grand Mercure Batam Centre </t>
  </si>
  <si>
    <t xml:space="preserve">zefri.apriyanto@accor.com </t>
  </si>
  <si>
    <t>Superior Room (King/Twin Bed)</t>
  </si>
  <si>
    <t>Pullman Jakarta Central Park</t>
  </si>
  <si>
    <t>gadis.carmanita@accor.com</t>
  </si>
  <si>
    <t xml:space="preserve">Deluxe </t>
  </si>
  <si>
    <t>NOVOTEL TANGERANG</t>
  </si>
  <si>
    <t>dosm@novoteltangerang.com</t>
  </si>
  <si>
    <t>Novotel Makassar Grand Shayla</t>
  </si>
  <si>
    <t>ados@novotel-makassar-grandshayla.com</t>
  </si>
  <si>
    <t>Mercure Bandung City Centre</t>
  </si>
  <si>
    <t>jso@mercure-bandung-citycentre.com</t>
  </si>
  <si>
    <t xml:space="preserve">Mercure Jakarta Cikini </t>
  </si>
  <si>
    <t>sm5@mercure-jakarta-cikini.com</t>
  </si>
  <si>
    <t xml:space="preserve">IBIS STYLES BEKASI JATIBENING </t>
  </si>
  <si>
    <t>sm1@ibisstyles-bekasi-jatibening.com</t>
  </si>
  <si>
    <t xml:space="preserve">SUPERIOR ROOM </t>
  </si>
  <si>
    <t>The Royal Surakarta Heritage</t>
  </si>
  <si>
    <t>ados@novotelsolo.com</t>
  </si>
  <si>
    <t>Novotel Solo</t>
  </si>
  <si>
    <t>ibis Styles Solo</t>
  </si>
  <si>
    <t>Novotel Lombok Resort &amp; Villas</t>
  </si>
  <si>
    <t>dosm@novotellombok.com</t>
  </si>
  <si>
    <t>Aryaduta</t>
  </si>
  <si>
    <t>Aryaduta Medan</t>
  </si>
  <si>
    <t>agung.rizqi@aryaduta.com</t>
  </si>
  <si>
    <t>Deluxe with breakfast (sampling date 24-25 November 2025)</t>
  </si>
  <si>
    <t>Aryaduta Menteng</t>
  </si>
  <si>
    <t>Superior room single with breakfast (Sampling date 6-7 Februari 2026)</t>
  </si>
  <si>
    <t>Aryaduta Suites Semanggi</t>
  </si>
  <si>
    <t>1 bedroom suites single with breakfast (Sampling date 6-7 Februari 2026)</t>
  </si>
  <si>
    <t>ARYADUTA LIPPO VILLAGE KARAWACI</t>
  </si>
  <si>
    <t>Deluxe single with breakfast (Sampling date 6-7 Februari 2026)</t>
  </si>
  <si>
    <t xml:space="preserve">ARYADUTA PALEMBANG </t>
  </si>
  <si>
    <t>ARYADUTA PEKANBARU</t>
  </si>
  <si>
    <t>ARYADUTA MEDAN</t>
  </si>
  <si>
    <t xml:space="preserve">ARYADUTA MANADO </t>
  </si>
  <si>
    <t>ARYADUTA BANDUNG</t>
  </si>
  <si>
    <t>Bussines room single with breakfast (Sampling date 6-7 Februari 2026)</t>
  </si>
  <si>
    <t>ARYADUTA KUTA BALI</t>
  </si>
  <si>
    <t>ARYADUTA MAKASSAR</t>
  </si>
  <si>
    <t>Citadines Berawa Beach Bali</t>
  </si>
  <si>
    <t>berty.putri@the-ascott.com</t>
  </si>
  <si>
    <t>Single studio executive with breakfast</t>
  </si>
  <si>
    <t>FOX Hotel Jimbaran Beach Bali</t>
  </si>
  <si>
    <t>reservation.fjbb@the-ascott.com</t>
  </si>
  <si>
    <t>Single Deluxe Shower Room with breakfast</t>
  </si>
  <si>
    <t>HARRIS Hotel &amp; Conventions Denpasar Bali</t>
  </si>
  <si>
    <t>kadek.noviantari@the-ascott.com</t>
  </si>
  <si>
    <t>Single Harris Room with breakfast</t>
  </si>
  <si>
    <t>HARRIS Hotel &amp; Residence Riverview Kuta Bali</t>
  </si>
  <si>
    <t>reservation.hrvb@the-ascott.com</t>
  </si>
  <si>
    <t>Double Harris Room with breakfast</t>
  </si>
  <si>
    <t>HARRIS Hotel &amp; Residence Sunset Road Bali</t>
  </si>
  <si>
    <t>pricillia.andriani@the-ascott.com</t>
  </si>
  <si>
    <t>HARRIS Hotel Kuta Tuban Bali</t>
  </si>
  <si>
    <t>info.htbn@the-ascott.com</t>
  </si>
  <si>
    <t>Maison Aurelia Sanur, Bali - by Préférence</t>
  </si>
  <si>
    <t>wisnu.raya@the-ascott.com</t>
  </si>
  <si>
    <t>Camelia Suite Double with breakfast</t>
  </si>
  <si>
    <t>HARRIS Hotel Seminyak Bali</t>
  </si>
  <si>
    <t>yossy.natalya@the-ascott.com</t>
  </si>
  <si>
    <t>POP! Hotel Kuta Beach Bali</t>
  </si>
  <si>
    <t>reservation.pktb@the-ascott.com</t>
  </si>
  <si>
    <t>Single Pop room with breakfast</t>
  </si>
  <si>
    <t>YELLO Hotel Kuta Beachwalk Bali</t>
  </si>
  <si>
    <t>reservation.yktb@the-ascott.com</t>
  </si>
  <si>
    <t>Single Yello room with breakfast</t>
  </si>
  <si>
    <t>Papua</t>
  </si>
  <si>
    <t>FOX Hotel Jayapura</t>
  </si>
  <si>
    <t>Karla.maktan@the-ascott.com</t>
  </si>
  <si>
    <t>Double superior room with breakfast</t>
  </si>
  <si>
    <t>Gorontalo</t>
  </si>
  <si>
    <t>FOX Hotel Gorontalo</t>
  </si>
  <si>
    <t>frangky.abas@the-ascott.com</t>
  </si>
  <si>
    <t>Single deluxe classic with breakfast</t>
  </si>
  <si>
    <t>FOX Harris Hotel &amp; Conventions Banjarnegara</t>
  </si>
  <si>
    <t>reception.fhhcb@the-ascott.com</t>
  </si>
  <si>
    <t>Single superior room with breakfast</t>
  </si>
  <si>
    <t>HARRIS Hotel &amp; Conventions Malang</t>
  </si>
  <si>
    <t>reservation.hmlg@the-ascott.com</t>
  </si>
  <si>
    <t xml:space="preserve">Single harris room with breakfast </t>
  </si>
  <si>
    <t>Somerset Queen City Semarang</t>
  </si>
  <si>
    <t>mohamad.silvian@the-ascott.com</t>
  </si>
  <si>
    <t>Single Executive with breakfast</t>
  </si>
  <si>
    <t>HARRIS Hotel &amp; Conventions Solo</t>
  </si>
  <si>
    <t>reservation.csol@the-ascott.com</t>
  </si>
  <si>
    <t>Harris Room single with breakfast</t>
  </si>
  <si>
    <t>Shanaya Resort Malang</t>
  </si>
  <si>
    <t>reservation.msrm@the-ascott.com</t>
  </si>
  <si>
    <t>Ranggawuni 2 Bed single with breakfast</t>
  </si>
  <si>
    <t>POP! Hotel Solo</t>
  </si>
  <si>
    <t>meiyani,trianawati@the-ascott.com</t>
  </si>
  <si>
    <t>Pop Room Single with breakfast</t>
  </si>
  <si>
    <t>HARRIS Hotel &amp; Conventions Bundaran Satelit Surabaya</t>
  </si>
  <si>
    <t>sabrina.rachmani@the-ascott.com</t>
  </si>
  <si>
    <t>Harris room single with breakfast</t>
  </si>
  <si>
    <t>POP! Hotel Diponegoro Surabaya</t>
  </si>
  <si>
    <t>asm.pdng@the-ascott.com</t>
  </si>
  <si>
    <t>Pop room single with breakfast</t>
  </si>
  <si>
    <t>YELLO Hotel Jemursari Surabaya</t>
  </si>
  <si>
    <t>Nakula.mahesa@the-ascott.com</t>
  </si>
  <si>
    <t>Single yello room with breakfast</t>
  </si>
  <si>
    <t>POP! Hotel Malioboro Yogyakarta</t>
  </si>
  <si>
    <t>diana.puspitasari@the-ascott.com</t>
  </si>
  <si>
    <t>POP! Hotel Sangaji Yogyakarta</t>
  </si>
  <si>
    <t>sales.psaj@the-ascott.com</t>
  </si>
  <si>
    <t>POP! Hotel Timoho Yogyakarta</t>
  </si>
  <si>
    <t>intan.dewi@the-ascott.com</t>
  </si>
  <si>
    <t>FOX Lite Hotel Grogol Jakarta</t>
  </si>
  <si>
    <t>arga.wijaya@the-ascott.com</t>
  </si>
  <si>
    <t>Standard Room, Single bed with breakfast</t>
  </si>
  <si>
    <t>HARRIS Suites Puri Mansion Jakarta</t>
  </si>
  <si>
    <t>suzan.apriyanty@the-ascott.com</t>
  </si>
  <si>
    <t>Harris Room, Single bed (Not AVailable for Extra bed), with breakfast) (Validaty 1 Jan - 19 Mar 2026)</t>
  </si>
  <si>
    <t>HARRIS Suites FX Sudirman Jakarta</t>
  </si>
  <si>
    <t>widi.yastuti@the-ascott.com</t>
  </si>
  <si>
    <t>Harris Room, Single bed (Not AVailable for Extra bed), with breakfast) (Validaty 1 Jan - 30 Des 2026)</t>
  </si>
  <si>
    <t>Kimaya Slipi Jakarta by Harris</t>
  </si>
  <si>
    <t>dosm-slipijakarta@thekimayahotels.com</t>
  </si>
  <si>
    <t>Deluxe Room, Single bed (Not AVailable for Extra bed), with breakfast) (Validaty 1 Jan - 30 Des 2026)</t>
  </si>
  <si>
    <t>POP! Hotel Kelapa Gading Jakarta</t>
  </si>
  <si>
    <t>derry.h@the-ascott.com</t>
  </si>
  <si>
    <t>POP Room, Single bed with breakfast (validaty 1 Jan - 30 Jun 2026)</t>
  </si>
  <si>
    <t>POP! Hotel Kemang Jakarta</t>
  </si>
  <si>
    <t>sales.pkaj@the-ascott.com</t>
  </si>
  <si>
    <t>POP Room, Snigle bed with breakfast (validaty 1 Jan - 30 Des 2026)</t>
  </si>
  <si>
    <t>POP! Hotel Pasar Baru Jakarta</t>
  </si>
  <si>
    <t>asm.ppbj@the-ascott.com</t>
  </si>
  <si>
    <t>POP! Hotel Tebet Jakarta</t>
  </si>
  <si>
    <t>tri.wiharjo@the-ascott.com</t>
  </si>
  <si>
    <t>Vertu Harmoni Jakarta</t>
  </si>
  <si>
    <t>ayuwidya.ningtyas@the-ascott.com</t>
  </si>
  <si>
    <t>V Room, Snigle bed (Not AVailable for Extra bed) with breakfast (validaty 1 Jan - 30 Des 2026)</t>
  </si>
  <si>
    <t>YELLO Hotel Manggarai Jakarta</t>
  </si>
  <si>
    <t>Agustina.Herliyanti@the-ascott.com</t>
  </si>
  <si>
    <t>YELLO Room, Snigle bed with breakfast (validaty 1 Jan - 30 Des 2026)</t>
  </si>
  <si>
    <t>Oakwood Hotel &amp; Apartments Grand Batam</t>
  </si>
  <si>
    <t>winny.elviany@the-ascott.com</t>
  </si>
  <si>
    <t>Ascott Jakarta</t>
  </si>
  <si>
    <t>adeline.tania@the-ascott.com</t>
  </si>
  <si>
    <t>Studio Premier, 1 King with breakfast</t>
  </si>
  <si>
    <t>Somerset Grand Citra</t>
  </si>
  <si>
    <t>lela.simanjuntak@the-ascott.com</t>
  </si>
  <si>
    <t>diaz.arlinda@the-ascott.com</t>
  </si>
  <si>
    <t>Studio Premiere, 1 King / 2 twin bed, 1 Pax Breakfast</t>
  </si>
  <si>
    <t>Ascott Sudirman Jakarta</t>
  </si>
  <si>
    <t>nicolas.irawan@the-ascott.com</t>
  </si>
  <si>
    <t>CITADINES ANTASARI JAKARTA</t>
  </si>
  <si>
    <t>CITADINES CONNECT AIRPORT JAKARTA</t>
  </si>
  <si>
    <t>Zulia.efrida@the-ascott.com</t>
  </si>
  <si>
    <t>Deluxe, Queen / Twin, with Breakfast</t>
  </si>
  <si>
    <t>CITADINES SUDIRMAN JAKARTA</t>
  </si>
  <si>
    <t>sheryn.salsabillah@the-ascott.com</t>
  </si>
  <si>
    <t>Daily Net, Studio Executive, 1 Queen bed, with Breakfast</t>
  </si>
  <si>
    <t>CITADINES GATOT SUBROTO JAKARTA</t>
  </si>
  <si>
    <t>Daily Net, Studio Suite, 1 King bed, with Breakfast</t>
  </si>
  <si>
    <t>Oakwood Apartments PIK Jakarta</t>
  </si>
  <si>
    <t>muhamad.ihsan@oakwood.com</t>
  </si>
  <si>
    <t>Studio, with Breakfast</t>
  </si>
  <si>
    <t>Oakwood Premier Cozmo Jakarta</t>
  </si>
  <si>
    <t>yessy.syafitri@the-ascott.com</t>
  </si>
  <si>
    <t>One Bedroom Deluxe, with breakfast for 1 (one) person and high-speed Internet)</t>
  </si>
  <si>
    <t>Oakwood Suites Kuningan Jakarta</t>
  </si>
  <si>
    <t>Studio Executive (refurbished room), with 2 Pax Breakfast</t>
  </si>
  <si>
    <t>Oakwood Suites La Maison</t>
  </si>
  <si>
    <t>tomy.sibarani@the-ascott.com</t>
  </si>
  <si>
    <t>1 Bedroom</t>
  </si>
  <si>
    <t>Oakwood Taman Mini Jakarta</t>
  </si>
  <si>
    <t>july.rayan@the-ascott.com</t>
  </si>
  <si>
    <t>Superior room with breakfast</t>
  </si>
  <si>
    <t>Somerset Berlian Jakarta</t>
  </si>
  <si>
    <t>bobon.mulyana@the-ascott.com</t>
  </si>
  <si>
    <t xml:space="preserve">2 Bedroom Deluxe, 1 King+1 Queen, </t>
  </si>
  <si>
    <t>Somerset Kencana Jakarta</t>
  </si>
  <si>
    <t>vera.annisa@the-ascott.com</t>
  </si>
  <si>
    <t>1 Bedroom Executive, 1 King, 2 Pax Breakfast</t>
  </si>
  <si>
    <t>Somerset Sudirman Jakarta</t>
  </si>
  <si>
    <t>raka.aditya@the-ascott.com</t>
  </si>
  <si>
    <t>Studio Executive, 1 King, with Breakfast</t>
  </si>
  <si>
    <t>Ascott Waterplace Surabaya</t>
  </si>
  <si>
    <t>indriana.maharti@the-ascott.com</t>
  </si>
  <si>
    <t>1-Bedroom Deluxe with Breakfast</t>
  </si>
  <si>
    <t>Oakwood Hotel &amp; Residence Surabaya</t>
  </si>
  <si>
    <t>reservations.residence-surabaya@oakwood.com</t>
  </si>
  <si>
    <t>Superior Room with Breakfast</t>
  </si>
  <si>
    <t>Harris Resort Balerang Batam</t>
  </si>
  <si>
    <t>Emmy.Dyah@the-ascott.com</t>
  </si>
  <si>
    <t xml:space="preserve">Harris Room - Garden View, Single bed (Not available for Extra Bed), with breakfast (weekdays 1 Jan - 13 Feb 2026) </t>
  </si>
  <si>
    <t>Harris Hotel Batam Center Batam</t>
  </si>
  <si>
    <t>Ari.Ervanto@the-ascott.com</t>
  </si>
  <si>
    <t xml:space="preserve">Harris Room, Single bed (Not available for Extra Bed), with breakfast (2 Jan-16 Feb 2026) </t>
  </si>
  <si>
    <t>elta.silitonga@the-ascott.com</t>
  </si>
  <si>
    <t xml:space="preserve">Harris Room, Single bed (Not available for Extra Bed), with breakfast (4 Jan-13 Feb 2026) </t>
  </si>
  <si>
    <t>Harris Resort Batam Waterfront</t>
  </si>
  <si>
    <t xml:space="preserve">Harris Orange Room, Single bed (Not available for Extra Bed), with breakfast ( 2 Jan - 16 Feb 2026) </t>
  </si>
  <si>
    <t>YELLO Hotel Harbour Bay Batam</t>
  </si>
  <si>
    <t>Aprianti.zariyani@the-ascott.com</t>
  </si>
  <si>
    <t xml:space="preserve">Yello Room, Single bed (Not available for Extra Bed), with breakfast ( 3 Jan - 13 Feb 2026) </t>
  </si>
  <si>
    <t>Jambi</t>
  </si>
  <si>
    <t>YELLO Hotel Jambi</t>
  </si>
  <si>
    <t>revia.prajasari@the-ascott.com</t>
  </si>
  <si>
    <t xml:space="preserve">Yello Room, Double bed (Not available for Extra Bed), with breakfast ( 1 Jan - 24 Des 2026) </t>
  </si>
  <si>
    <t>Harris Hotel Pontianak</t>
  </si>
  <si>
    <t>nita.puspita@the-ascott.com</t>
  </si>
  <si>
    <t xml:space="preserve">Harris Simple Room, Single bed (Not available for Extra Bed), with breakfast ( 1 Jan - 15 Feb 2026) </t>
  </si>
  <si>
    <t>FOX Lite Hotel Samarinda</t>
  </si>
  <si>
    <t>reyza.hamdani@the-ascott.com</t>
  </si>
  <si>
    <t xml:space="preserve">Superior Room, Single bed (Not available for Extra Bed), with breakfast ( 1 Jan - 30 Des 2026) </t>
  </si>
  <si>
    <t>anwar.lodding@the-ascott.com</t>
  </si>
  <si>
    <t xml:space="preserve">Harris Room City View, Single bed (Not available for Extra Bed), with breakfast (weekdays 1 Jan - 18 Mar 2026) </t>
  </si>
  <si>
    <t>YELLO Hotel Samarinda</t>
  </si>
  <si>
    <t>Edduan.Abyudin@the-ascott.com</t>
  </si>
  <si>
    <t xml:space="preserve">Yello Room, Single bed (Not available for Extra Bed), with breakfast ( 1 Jan - 24 Des 2026) </t>
  </si>
  <si>
    <t>Fox Lite Hotel Majalaya Bandung</t>
  </si>
  <si>
    <t>Arie.Pranatha@the-ascott.com</t>
  </si>
  <si>
    <t xml:space="preserve">Superior Room, Single bed (Not available for Extra Bed), with breakfast ( 1 Jan - 31 Des 2026) </t>
  </si>
  <si>
    <t>Harris Hotel &amp; Conventions Festival Citylink Bandung</t>
  </si>
  <si>
    <t>rahmat.hidayat@the-ascott.com</t>
  </si>
  <si>
    <t xml:space="preserve">Harris Room, Single bed (Not available for Extra Bed), with breakfast (weekdays 4 Jan - 18 Mar 2026) </t>
  </si>
  <si>
    <t>Harris Hotel &amp; Conventions Ciumbuleuit Bandung</t>
  </si>
  <si>
    <t>oki.pratama@the-ascott.com</t>
  </si>
  <si>
    <t xml:space="preserve">Harris Room, Single bed (Not available for Extra Bed), with breakfast (weekdays 1 Jan - 18 Mar 2026) </t>
  </si>
  <si>
    <t>Kimaya Braga Bandung by Harris</t>
  </si>
  <si>
    <t xml:space="preserve">Classic Braga, Double bed (Not available for Extra Bed), with breakfast (weekdays 1 Jan - 18 Mar 2026) </t>
  </si>
  <si>
    <t>Oakwood Merdeka Bandung</t>
  </si>
  <si>
    <t>gitta.ayu@oakwood.com</t>
  </si>
  <si>
    <t xml:space="preserve">Superior Smoking Room, Single bed (Not available for Extra Bed), with breakfast ( 1 Jan - 31 Des 2026) </t>
  </si>
  <si>
    <t>POP! Hotel Festival Citylink Bandung</t>
  </si>
  <si>
    <t xml:space="preserve">POP! Room, Single bed (Not available for Extra Bed), with breakfast (weekdays 4 Jan - 18 Mar 2026) </t>
  </si>
  <si>
    <t>YELLO Hotel Paskal Bandung</t>
  </si>
  <si>
    <t>wulan.rianty@the-ascott.com</t>
  </si>
  <si>
    <t xml:space="preserve">Yello Room, Single bed (Not available for Extra Bed), with breakfast (weekdays 1 Jan - 18 Mar 2026) </t>
  </si>
  <si>
    <t>rokhim.pamungkas@the-ascott.com</t>
  </si>
  <si>
    <t xml:space="preserve">Superior Room, Single bed (Not available for Extra Bed), with breakfast ( 1 Jan - 13 Mar 2026) </t>
  </si>
  <si>
    <t>Harris Hotel &amp; Conventions Bekasi</t>
  </si>
  <si>
    <t>ria.anggraeni@the-ascott.com</t>
  </si>
  <si>
    <t>Harris Room, Single bed (Not available for Extra Bed), with breakfast ( 1 Jan - 30 Des 2026)</t>
  </si>
  <si>
    <t>Harris Hotel &amp; Convention Cibinong City Mall Bogor</t>
  </si>
  <si>
    <t>gea.dewi@the-ascott.com</t>
  </si>
  <si>
    <t>Harris Room, Single bed (Not available for Extra Bed), with breakfast ( 1 Jan - 22 Des 2026)</t>
  </si>
  <si>
    <t>Harris Hotel Sentul City Bogor</t>
  </si>
  <si>
    <t>cahyanti.widyasari@the-ascott.com</t>
  </si>
  <si>
    <t>Harris Room, Single bed (Not available for Extra Bed), with breakfast ( weekdays 1 Jan - 31 Des 2026)</t>
  </si>
  <si>
    <t>Pesona Alam Resort &amp; Spa</t>
  </si>
  <si>
    <t>reni.nuraeni@the-ascott.com</t>
  </si>
  <si>
    <t>Deluxe Standard, Single bed (Not available for Extra Bed), with breakfast ( weekdays 4 Jan - 11 Mar 2026)</t>
  </si>
  <si>
    <t>The Botanica Sanctuary Bogor</t>
  </si>
  <si>
    <t>Deluxe Room, Single bed (Not available for Extra Bed), with breakfast ( weekdays 4 Jan - 11 Mar 2026)</t>
  </si>
  <si>
    <t>FOX Lite Hotel Cikarang</t>
  </si>
  <si>
    <t>abdul.rifai@the-ascott.com</t>
  </si>
  <si>
    <t>Superior Room, Single bed (Not available for Extra Bed), with breakfast ( 1 Jan - 31 Des 2026)</t>
  </si>
  <si>
    <t xml:space="preserve">Ascott </t>
  </si>
  <si>
    <t>Yessy.Syafitri@the-ascott.com</t>
  </si>
  <si>
    <t>One bedroom deluxe with breakfast (Sampling date 5-6 Januari 2026)</t>
  </si>
  <si>
    <t>Harris Hotel &amp; Conventions Kelapa Gading Jakarta</t>
  </si>
  <si>
    <t>Harris Room, Single bed (Not AVailable for Extra bed), with breakfast) (Validaty 1 Jan - 3 Jan 2026)</t>
  </si>
  <si>
    <t>Ascott Kuningan Jakarta</t>
  </si>
  <si>
    <t>1 Bedroom Deluxe, 1 King, 1 Breakfast</t>
  </si>
  <si>
    <t>FOX Hotel Pekanbaru</t>
  </si>
  <si>
    <t>nanang.hermana@the-ascott.com</t>
  </si>
  <si>
    <t xml:space="preserve">Deluxe Room, Single bed (Not available for Extra Bed), with breakfast ( 1 Jan - 19 Mar 2026) </t>
  </si>
  <si>
    <t>Best Western Hotel (BWH)</t>
  </si>
  <si>
    <t>Best Western Mangga Dua Hotel &amp; Residence</t>
  </si>
  <si>
    <t>reservation@bwmanggadua.com</t>
  </si>
  <si>
    <t>Standart room with breakfast (Sampling date 12-13 Januari 2026)</t>
  </si>
  <si>
    <t>Best Western Senayan Hotel</t>
  </si>
  <si>
    <t>reservation@bwsenayan.com</t>
  </si>
  <si>
    <t>Superior room with breakfast  (Sampling date 12-13 Januari 2026)</t>
  </si>
  <si>
    <t>Best Western Premier The Hive</t>
  </si>
  <si>
    <t>reservation@thehivehotel.com</t>
  </si>
  <si>
    <t>Superior twin with breakfast  (Sampling date 12-13 Januari 2026)</t>
  </si>
  <si>
    <t>Best Western Premier La Grande Hotel Bandung</t>
  </si>
  <si>
    <t>reservation@lagrandebandung.com</t>
  </si>
  <si>
    <t>Best Western Setiabudhi Bandung</t>
  </si>
  <si>
    <t>reservation@bwsetiabudhi.com</t>
  </si>
  <si>
    <t>Alhambra Hotel and Convention, BW Signature Collection</t>
  </si>
  <si>
    <t>reservation@alhambratasik.com</t>
  </si>
  <si>
    <t>Deluxe room with breakfast  (Sampling date 12-13 Januari 2026)</t>
  </si>
  <si>
    <t>Best Western Papilio Hotel</t>
  </si>
  <si>
    <t>reservation@papiliohotel.com</t>
  </si>
  <si>
    <t>Best Western Kamala Jimbaran</t>
  </si>
  <si>
    <t>reservation@bwkamalajimbaran.com</t>
  </si>
  <si>
    <t>Best Western Premier Agung Resort Ubud</t>
  </si>
  <si>
    <t>reservation@bwagungubud.com</t>
  </si>
  <si>
    <t>Best Western Kuta Villa</t>
  </si>
  <si>
    <t>Best Western Resort Kuta</t>
  </si>
  <si>
    <t>Best Western Plus Makassar Beach</t>
  </si>
  <si>
    <t>reservation@bwmakassarbeach.com</t>
  </si>
  <si>
    <t>Best Western Plus Coco Palu</t>
  </si>
  <si>
    <t>reservation@bwcocopalu.com</t>
  </si>
  <si>
    <t>Best Western The Lagoon Hotel</t>
  </si>
  <si>
    <t>reservation@bwlagoonmanado.com</t>
  </si>
  <si>
    <t>Best Western Sagita Jayapura</t>
  </si>
  <si>
    <t>reservation@bwsagitajayapura.com</t>
  </si>
  <si>
    <t>Best Western Batang Garing</t>
  </si>
  <si>
    <t>reservation@bwbatanggaring.com</t>
  </si>
  <si>
    <t>Borobudur</t>
  </si>
  <si>
    <t>Hotel Borobudur</t>
  </si>
  <si>
    <t>Superior King Room, 1 King</t>
  </si>
  <si>
    <t>Double Tree</t>
  </si>
  <si>
    <t>Doubletree by Jakarta Hotel Kemayoran</t>
  </si>
  <si>
    <t>Prishilla.Febriyani@Hilton.com</t>
  </si>
  <si>
    <t>Guest room with one breakfast</t>
  </si>
  <si>
    <t>Doubletree by Jakarta Bintaro Jaya</t>
  </si>
  <si>
    <t>Albert.Sanata@Hilton.com</t>
  </si>
  <si>
    <t>Twin Guest room with breakfast (Sampling date 12-13 Januari 2026)</t>
  </si>
  <si>
    <t>Doubletree by Hilton Jakarta - Diponegoro</t>
  </si>
  <si>
    <t>Fitria.Apriandhita@Hilton.com</t>
  </si>
  <si>
    <t>Guest room with breakfast</t>
  </si>
  <si>
    <t>Holiday Inn Express Bali Sunset Road</t>
  </si>
  <si>
    <t>Standard Pool View (Sampling 15-16 Des 2025)</t>
  </si>
  <si>
    <t>Holiday Inn Resort Baruna Bali ( 5* )</t>
  </si>
  <si>
    <t>Standard room (Sampling 15-16 Des 2025)</t>
  </si>
  <si>
    <t>Holiday Inn Resort Baruna Bali ( 4* )</t>
  </si>
  <si>
    <t>Standard room</t>
  </si>
  <si>
    <t>Holiday Inn Resort Bali Nusa Dua</t>
  </si>
  <si>
    <t>Hotel Indigo Bali Seminyak Beach</t>
  </si>
  <si>
    <t>Standard Room (50m2) (Sampling 15-16 Des 2025)</t>
  </si>
  <si>
    <t>InterContinental Bali Resort</t>
  </si>
  <si>
    <t>Classic Room (Sampling 15-16 Des 2025)</t>
  </si>
  <si>
    <t>Regent Bali Canggu</t>
  </si>
  <si>
    <t>Studio Suite (Sampling 15-16 Des 2025)</t>
  </si>
  <si>
    <t>Rumah Luwih Resort Bali</t>
  </si>
  <si>
    <t>Voco Bali Seminyak</t>
  </si>
  <si>
    <t>Deluxe Room (Staff)</t>
  </si>
  <si>
    <t>Crowne Plaza Bandung</t>
  </si>
  <si>
    <t>Holiday Inn Express Braga</t>
  </si>
  <si>
    <t>Standard Room (Opening Soon, Jul 01, 2027)</t>
  </si>
  <si>
    <t>Holiday Inn Bandung Pasteur</t>
  </si>
  <si>
    <t>Hotel Indigo Bandung (weekday period)</t>
  </si>
  <si>
    <t>Hotel Indigo Bandung (weekend period)</t>
  </si>
  <si>
    <t>InterContinental Bandung Dago Pakar (Weekday Period)</t>
  </si>
  <si>
    <t>InterContinental Bandung Dago Pakar (Weekend Period)</t>
  </si>
  <si>
    <t>Voco Bandung Setiabudi</t>
  </si>
  <si>
    <t>Deluxe Room (Weekday Only), and Weekend surcharge IDR. 200.000 net/Room</t>
  </si>
  <si>
    <t>Holiday Inn Express &amp; Suites Banjarmasin</t>
  </si>
  <si>
    <t>Holiday Inn Resort Batam</t>
  </si>
  <si>
    <t>One Bedroom Suite</t>
  </si>
  <si>
    <t>Hotel Indigo Bintan</t>
  </si>
  <si>
    <t>Standard Ocean view</t>
  </si>
  <si>
    <t>Holiday Inn Resort Bintan</t>
  </si>
  <si>
    <t>Standard Pond View</t>
  </si>
  <si>
    <t>Holiday Inn Cikarang Jababeka</t>
  </si>
  <si>
    <t>Holiday Inn Express JIEXPO Kemayoran</t>
  </si>
  <si>
    <t>Holiday Inn Express Jakarta Matraman</t>
  </si>
  <si>
    <t>Holiday Inn Express Wahid Hasyim Jakarta</t>
  </si>
  <si>
    <t>Hotel Holiday Inn and Suites Jakarta Gajah Mada</t>
  </si>
  <si>
    <t>1 King Bed / 2 Twin Beds Standard City View</t>
  </si>
  <si>
    <t>Crowne Plaza Labuan Bajo</t>
  </si>
  <si>
    <t>Lampung</t>
  </si>
  <si>
    <t>Holiday Inn Lampung Bukit Randu</t>
  </si>
  <si>
    <t>Holiday Inn Express Semarang Simpang Lima</t>
  </si>
  <si>
    <t>Holiday Inn Express Surabaya Centerpoint</t>
  </si>
  <si>
    <t>Jakarta Intercontinental Pondok Indah</t>
  </si>
  <si>
    <t>Darwin.Yulio@ihg.com</t>
  </si>
  <si>
    <t>Classic room with breakfast</t>
  </si>
  <si>
    <t>Jatra Hotels</t>
  </si>
  <si>
    <t>Grand Jatra Hotel Balikpapan</t>
  </si>
  <si>
    <t>cluster-secsales.balikpapan@jatrahotels.com</t>
  </si>
  <si>
    <t>Superior double bed with breakfast, laundry and room breakfast 2 (Sampling date 2-3 Desember 2025)</t>
  </si>
  <si>
    <t>Pentacity Hotel Balikpapan</t>
  </si>
  <si>
    <t>Superior double bed with 2 breakfast (Sampling date 2-3 Desember 2025)</t>
  </si>
  <si>
    <t>Astara Hotel Balikpapan</t>
  </si>
  <si>
    <t>J ICON HIP HOTEL</t>
  </si>
  <si>
    <t>Square room with breakfast (Sampling date 2-3 Desember 2025)</t>
  </si>
  <si>
    <t>Aloft Kebun Jeruk</t>
  </si>
  <si>
    <t>Rizki.Melia@aloft.com</t>
  </si>
  <si>
    <t>Sky loft city view includes 2 breakfast for 2 adults and 2 children (Sampling date 9-10 Desember 2025)</t>
  </si>
  <si>
    <t>Marriot International Group</t>
  </si>
  <si>
    <t>Four Points by Sheraton Medan</t>
  </si>
  <si>
    <t>Henny.Hutagalung@fourpoints.com</t>
  </si>
  <si>
    <t xml:space="preserve">Deluxe Room with breakfast (Sampling Date 15-16 Desember 2025) </t>
  </si>
  <si>
    <t>JW Marriot Medan</t>
  </si>
  <si>
    <t>mhrs.mesmc.res@marriotthotels.com</t>
  </si>
  <si>
    <t>Batam Marriott Hotel Harbour Bay</t>
  </si>
  <si>
    <t>erwin.sudarma@marriotthotels.com</t>
  </si>
  <si>
    <t>Four Points By Sheraton Batam</t>
  </si>
  <si>
    <t>fp.bthfp.reservations@fourpoints.com</t>
  </si>
  <si>
    <t>Four Points by Sheraton Bintan – Lagoi Bay</t>
  </si>
  <si>
    <t>mhrs.tnjfp.reservation@fourpoints.com</t>
  </si>
  <si>
    <t>Natra Bintan, a Tribute Portfolio Resort</t>
  </si>
  <si>
    <t>trb.tnjtx.reservation@tribute-portfoliohotels.com</t>
  </si>
  <si>
    <t>Fairfield by Marriott Belitung</t>
  </si>
  <si>
    <t>fredrick.leonardi@fairfieldinn.com</t>
  </si>
  <si>
    <t>Sheraton Belitung Resort</t>
  </si>
  <si>
    <t>yoses.sutianto@sheraton.com</t>
  </si>
  <si>
    <t>Lampung Marriott Resort &amp; Spa</t>
  </si>
  <si>
    <t>mhrs.tkgmc.reservations@marriott.com</t>
  </si>
  <si>
    <t>Fairfield by Marriott Jakarta Soekarno-Hatta Airport</t>
  </si>
  <si>
    <t>Deluxe Room (King Bed) (Sampling Date 11-12 Desember 2025)</t>
  </si>
  <si>
    <t>Sheraton Jakarta Soekarno Hatta Airport</t>
  </si>
  <si>
    <t>agustina.onggo@sheraton.com</t>
  </si>
  <si>
    <t>Deluxe Garden room (Sampling Date 11-12 Desember 2025)</t>
  </si>
  <si>
    <t>ffi.jktbf.reservations@marriott.com</t>
  </si>
  <si>
    <t xml:space="preserve">Superior King (Sampling Date 15-16 Desember 2025) </t>
  </si>
  <si>
    <t>Four Points by Sheraton Bekasi Hotel</t>
  </si>
  <si>
    <t xml:space="preserve">Deluxe King, Deluxe Guest Room, 1 King, City Review (Sampling Date 15-16 Desember 2025) </t>
  </si>
  <si>
    <t>Aloft Jakarta Kebon Jeruk</t>
  </si>
  <si>
    <t>rizki.melia@aloft.com</t>
  </si>
  <si>
    <t xml:space="preserve">Sky, Loft, 1 King, City View (Sampling Date 15-16 Desember 2025) </t>
  </si>
  <si>
    <t>Aloft Jakarta Wahid Hasyim</t>
  </si>
  <si>
    <t>fachry.hadi@alofthotels.com</t>
  </si>
  <si>
    <t xml:space="preserve">1 Tempat Tidur King, Kamar Hotel (Sampling Date 15-16 Desember 2025) </t>
  </si>
  <si>
    <t>Aloft South Jakarta</t>
  </si>
  <si>
    <t>info.jktas@aloft.com</t>
  </si>
  <si>
    <t xml:space="preserve">Deluxe, Kamar 1 Tempat Tidur King (Sampling Date 15-16 Desember 2025) </t>
  </si>
  <si>
    <t>Four Points by Sheraton Jakarta Thamrin</t>
  </si>
  <si>
    <t>edwin.saputra@fourpoints.com</t>
  </si>
  <si>
    <t>JW Marriott Hotel Jakarta – Mega Kuningan</t>
  </si>
  <si>
    <t>mhrs.jktjw.res@marriott.com</t>
  </si>
  <si>
    <t xml:space="preserve">1 King Bed, Guest Room (Sampling Date 15-16 Desember 2025) </t>
  </si>
  <si>
    <t>Le Meridien Jakarta</t>
  </si>
  <si>
    <t>jktmd.reservation@lemeridien.com</t>
  </si>
  <si>
    <t xml:space="preserve">2 Satu/Dua Tempat Tidur, Kamar Hotel Deluxe (Sampling Date 15-16 Desember 2025) </t>
  </si>
  <si>
    <t>Sari Pacific Jakarta, Autograph Collection</t>
  </si>
  <si>
    <t>Farida.ariyani@saripacificjakarta.com</t>
  </si>
  <si>
    <t xml:space="preserve">Grand Deluxe, Kamar Hotel, 1 King, Pemandangan Kota (Sampling Date 15-16 Desember 2025) </t>
  </si>
  <si>
    <t>Sheraton Grand Jakarta Gandaria City</t>
  </si>
  <si>
    <t>gomosericksandro.silo@sheraton.com</t>
  </si>
  <si>
    <t xml:space="preserve">2 Tempat Tidur Ganda, Kamar Hotel (Sampling Date 15-16 Desember 2025) </t>
  </si>
  <si>
    <t>The Hermitage, a Tribute Portfolio Hotel, Jakarta</t>
  </si>
  <si>
    <t>reservations.hermitage@tributeportfolio.com</t>
  </si>
  <si>
    <t xml:space="preserve">1 Tempat Tidur King, Kamar hotel (Sampling Date 15-16 Desember 2025) </t>
  </si>
  <si>
    <t>The Ritz Carlton Jakarta – Mega Kuningan</t>
  </si>
  <si>
    <t>rc.jktrz.reservation@ritzcarlton.com</t>
  </si>
  <si>
    <t xml:space="preserve">Kamar Besar, Kamar Hotel, 1 King, Pemandangan Kota (Sampling Date 15-16 Desember 2025) </t>
  </si>
  <si>
    <t>The Ritz-Carlton Jakarta, Pacific Place</t>
  </si>
  <si>
    <t>Zetha.Sontany@ritzcarlton.com</t>
  </si>
  <si>
    <t xml:space="preserve">1 Tempat Tidur King, Akses Club Lounge, Kamar Hotel (Sampling Date 15-16 Desember 2025) </t>
  </si>
  <si>
    <t>The St Regis Jakarta</t>
  </si>
  <si>
    <t>Ady.Prasetyo@stregis.com</t>
  </si>
  <si>
    <t xml:space="preserve">Deluxe, Kamar Hotel, 1 King, Balkon (Sampling Date 15-16 Desember 2025) </t>
  </si>
  <si>
    <t>The Westin Jakarta</t>
  </si>
  <si>
    <t>Catherine.Tascha@westin.com</t>
  </si>
  <si>
    <t>Courtyard by Marriott Bandung Dago</t>
  </si>
  <si>
    <t>ayu.lestarilosana@courtyard.com</t>
  </si>
  <si>
    <t xml:space="preserve">1 Tempat Tidur Queen, Kamar hotel (Sampling Date 15-16 Desember 2025) </t>
  </si>
  <si>
    <t>Four Points by Sheraton Bandung</t>
  </si>
  <si>
    <t>iwan.wahyudin@fourpoints.com</t>
  </si>
  <si>
    <t>Moxy Bandung</t>
  </si>
  <si>
    <t>moxy.bdoox.reservations@moxyhotels.com</t>
  </si>
  <si>
    <t xml:space="preserve">2 Satu/Dua Tempat Tidur, Kamar hotel (Sampling Date 15-16 Desember 2025) </t>
  </si>
  <si>
    <t>Sheraton Bandung Hotel &amp; Towers</t>
  </si>
  <si>
    <t>virna.kiranjani@sheraton.com</t>
  </si>
  <si>
    <t xml:space="preserve">Deluxe Room, Kamar tamu, 1 King atau 2 Twin, akses kolam renang (Sampling Date 15-16 Desember 2025) </t>
  </si>
  <si>
    <t>Moxy Solo</t>
  </si>
  <si>
    <t>moxy.socox.reservation@marriott.com</t>
  </si>
  <si>
    <t xml:space="preserve">Kamar hotel, 2 Kamar Twin, Pemandangan Kota (Sampling Date 15-16 Desember 2025) </t>
  </si>
  <si>
    <t>Yogyakarta Marriott Hotel</t>
  </si>
  <si>
    <t>Elisabeth.Pradipta@marriott.com</t>
  </si>
  <si>
    <t xml:space="preserve">2 Tempat Tidur Double, Pemandangan Kota, Kamar hotel (Sampling Date 15-16 Desember 2025) </t>
  </si>
  <si>
    <t>Cindy.Carolina@marriott.com</t>
  </si>
  <si>
    <t xml:space="preserve">Deluxe Loft King, Guest room, 1 King (Sampling Date 15-16 Desember 2025) </t>
  </si>
  <si>
    <t>Fairfield by Marriott Surabaya</t>
  </si>
  <si>
    <t>ffi.subfi.reservations@fairfieldinn.com</t>
  </si>
  <si>
    <t>Four Points by Sheraton Surabaya – Pakuwon Indah</t>
  </si>
  <si>
    <t>fp.subfk.reservation@fourpoints.com</t>
  </si>
  <si>
    <t>Four Points by Sheraton Surabaya – Tunjungan Plaza</t>
  </si>
  <si>
    <t>fourpoints.surabaya@fourpoints.com</t>
  </si>
  <si>
    <t xml:space="preserve">2 Satu/Dua Tempat Tidur, Kamar hotel (Sampling Date 18-19 Desember 2025) </t>
  </si>
  <si>
    <t>JW Marriott Surabaya</t>
  </si>
  <si>
    <t>tineke.kimbal@marriotthotels.com</t>
  </si>
  <si>
    <t>Deluxe Room atau 1 Tempat Tidur King, Kamar hotel (Sampling Date 11-12 Des 2025)</t>
  </si>
  <si>
    <t>Sheraton Surabaya Hotel &amp; Towers</t>
  </si>
  <si>
    <t>sales.00164@sheraton.com</t>
  </si>
  <si>
    <t>Deluxe King (Sampling 11-12 Des 2025)</t>
  </si>
  <si>
    <t>The Westin Surabaya</t>
  </si>
  <si>
    <t>wi.subwi.reservation@westin.com</t>
  </si>
  <si>
    <t>Westin Deluxe King (Sampling 11-12 Des 2025)</t>
  </si>
  <si>
    <t>Four Points by Sheraton Balikpapan</t>
  </si>
  <si>
    <t>fp.bpnfp.reservations@fourpointshotels.com</t>
  </si>
  <si>
    <t>Deluxe Premium (Sampling 15-16 Des 2025)</t>
  </si>
  <si>
    <t>Four Points By Sheraton Pontianak</t>
  </si>
  <si>
    <t>Muhammad.gusti@marriott.com</t>
  </si>
  <si>
    <t>Deluxe Room (Sampling 15-16 Des 2025)</t>
  </si>
  <si>
    <t>Four Points by Sheraton Manado</t>
  </si>
  <si>
    <t>rachel.pangemanan@fourpoints.com</t>
  </si>
  <si>
    <t>Deluxe City View (Sampling 11-12 Des 2025)</t>
  </si>
  <si>
    <t>Four Points by Sheraton Makassar</t>
  </si>
  <si>
    <t>reservation.makassar@fourpoints.com</t>
  </si>
  <si>
    <t>Deluxe room (Sampling 15-16 Des 2025)</t>
  </si>
  <si>
    <t>Aloft Bali Kuta at Beachwalk</t>
  </si>
  <si>
    <t>desimariati.gunawan@marriott.com</t>
  </si>
  <si>
    <t>Aloft Room (Sampling 11-12 Des 2025)</t>
  </si>
  <si>
    <t>Aloft Bali Seminyak</t>
  </si>
  <si>
    <t>reservation.aloftbaliseminyak@aloft.com</t>
  </si>
  <si>
    <t>Aloft King (Sampling 11-12 Des 2025)</t>
  </si>
  <si>
    <t>Amarterra Villas Resort Bali Nusa Dua, Autograph Collection</t>
  </si>
  <si>
    <t>dosm@amarterravilla.com</t>
  </si>
  <si>
    <t>Vila Kolam Renang 1 Kamar Tidur (Sampling 11-12 Des 2025)</t>
  </si>
  <si>
    <t>Cicada Resort Bali Ubud, Autograph Collection</t>
  </si>
  <si>
    <t>ari.asfaro@autographhotels.com</t>
  </si>
  <si>
    <t>Cicada Valley Suite, 1 Bedroom Suite, 1 King, Forest view, High floor, Balcony (Sampling 18-19 Des 2025)</t>
  </si>
  <si>
    <t>Courtyard by Marriott Bali Nusa Dua Resort</t>
  </si>
  <si>
    <t>Rica.LucianapPutri@courtyard.com</t>
  </si>
  <si>
    <t>1 Tempat Tidur King, Pemandangan Kebun, Kamar hotel (Sampling 18-19 Des 2025)</t>
  </si>
  <si>
    <t>Courtyard Bali Seminyak</t>
  </si>
  <si>
    <t>jovanka.kaboel@courtyard.com</t>
  </si>
  <si>
    <t>2 Satu/Dua Tempat Tidur, Pemandangan Kota, Kamar hotel (Sampling 18-19 Des 2025)</t>
  </si>
  <si>
    <t>Element by Westin Bali Ubud</t>
  </si>
  <si>
    <t>reservation.elementbali@elementhotels.com</t>
  </si>
  <si>
    <t>Deluxe, Kamar Hotel, 1 Tempat Tidur King, Pemandangan Taman, Balkon (Sampling 18-19 Des 2025)</t>
  </si>
  <si>
    <t>Fairfield by Marriott Bali Kuta Ngurah Rai</t>
  </si>
  <si>
    <t>putri.rebecca@fairfieldinn.com</t>
  </si>
  <si>
    <t>Unggul, Kamar tamu, 2 kembar (Sampling 18-19 Des 2025)</t>
  </si>
  <si>
    <t>Fairfield by Marriott Bali Kuta Sunset Road</t>
  </si>
  <si>
    <t>zai.bakari@fairfieldinn.com</t>
  </si>
  <si>
    <t>1 Tempat Tidur Queen, Pemandangan Kota, Kamar hotel (Sampling 18-19 Des 2025)</t>
  </si>
  <si>
    <t>Fairfield by Marriott Bali Legian</t>
  </si>
  <si>
    <t>reservations.fairfield@marriott.com</t>
  </si>
  <si>
    <t>1 Tempat Tidur King, Kamar hotel (Sampling 18-19 Des 2025)</t>
  </si>
  <si>
    <t>Fairfield by Marirott Bali South Kuta</t>
  </si>
  <si>
    <t>ffi.dpssk.reservations@marriott.com</t>
  </si>
  <si>
    <t>Unggul, Kamar Tamu, 1 King, Pemandangan Terbatas (Sampling 18-19 Des 2025)</t>
  </si>
  <si>
    <t>Four Points by Sheraton Bali, Kuta</t>
  </si>
  <si>
    <t>2 Tempat Tidur Double, Pemandangan Kolam Renang, Kamar hotel (Sampling 18-19 Des 2025)</t>
  </si>
  <si>
    <t>Four Points by Sheraton Ungasan</t>
  </si>
  <si>
    <t>reservations.baliungasan@fourpoints.com</t>
  </si>
  <si>
    <t>1 Tempat Tidur King, Pemandangan Halaman, Kamar hotel (Sampling 18-19 Des 2025)</t>
  </si>
  <si>
    <t>Four Points by Sheraton Bali – Seminyak</t>
  </si>
  <si>
    <t>fourpoints.baliseminyak@fourpoints.com</t>
  </si>
  <si>
    <t>Deluxe Room, Kamar Hotel, 1 King, Balkon (Sampling 18-19 Des 2025)</t>
  </si>
  <si>
    <t>Le Meridien Bali Jimbaran</t>
  </si>
  <si>
    <t>anastasia.ketaren@lemeridien.com</t>
  </si>
  <si>
    <t>Kamar Klasik, Kamar Hotel, 1 King, Balkon (Sampling 18-19 Des 2025)</t>
  </si>
  <si>
    <t>Renaissance Bali Nusa Dua Resort</t>
  </si>
  <si>
    <t>santy.kusuma@renaissancehotels.com</t>
  </si>
  <si>
    <t>Deluxe King, Kamar hotel, 1 tempat tidur king, tempat tidur sofa, balkon (Sampling 18-19 Des 2025)</t>
  </si>
  <si>
    <t xml:space="preserve">Renaissance Bali Uluwatu Resort and Spa </t>
  </si>
  <si>
    <t>Diah.chandra@renaissancehotels.com</t>
  </si>
  <si>
    <t>2 Satu/Dua Tempat Tidur, Pemandangan Kebun, Balkon, Kamar hotel (Sampling 18-19 Des 2025)</t>
  </si>
  <si>
    <t>Sheraton Bali Kuta Resort</t>
  </si>
  <si>
    <t>Sthala a Tribute Portfolio Hotel, Ubud Bali</t>
  </si>
  <si>
    <t>resv.sthala@tributeportfolio.com</t>
  </si>
  <si>
    <t>1 Tempat Tidur King, Pemandangan Taman Vertikal, Kamar hotel (Sampling 18-19 Des 2025)</t>
  </si>
  <si>
    <t>The Laguna, a Luxury Collection Resort &amp; Spa, Nusa Dua, Bali</t>
  </si>
  <si>
    <t>Laguna.Reservation@luxurycollection.com</t>
  </si>
  <si>
    <t>The Ritz-Carlton Bali</t>
  </si>
  <si>
    <t>rc.dpssw.reservation@ritzcarlton.com</t>
  </si>
  <si>
    <t>Suku Sawangan, Junior Suite, 1 King atau 2 Queen, Balkon (Sampling 18-19 Des 2025)</t>
  </si>
  <si>
    <t>The Westin Resort &amp; SPA Ubud Bali</t>
  </si>
  <si>
    <t>Baby.Soraya@westin.com</t>
  </si>
  <si>
    <t>1 Tempat Tidur King, Pemandangan Kebun, Balkon, Kamar hotel (Sampling 18-19 Des 2025)</t>
  </si>
  <si>
    <t xml:space="preserve">The Westin Resort Nusa Dua, Bali </t>
  </si>
  <si>
    <t>Dyah.kartikasari@westin.com</t>
  </si>
  <si>
    <t>1 Tempat Tidur King, Pemandangan Kebun, Kamar Hotel Deluxe (Sampling 18-19 Des 2025)</t>
  </si>
  <si>
    <t>Sheraton Senggigi Beach Resort</t>
  </si>
  <si>
    <t>reservation.senggigi@marriott.com</t>
  </si>
  <si>
    <t>The Sira Lombok</t>
  </si>
  <si>
    <t>thesira.reservation@luxurycollection.com</t>
  </si>
  <si>
    <t>Suite Raja Lombok, Suite 1 Kamar Tidur, 1 King, Pemandangan Resor, Lantai Dasar, Akses Kolam Renang (Sampling Date 15-16 Desember 2025)</t>
  </si>
  <si>
    <t>TA’AKTANA, a Luxury Collection Resort &amp; Spa, Labuan Bajo</t>
  </si>
  <si>
    <t>dian.budianto@luxurycollection.com</t>
  </si>
  <si>
    <t>Suite Wae Rana, Junior Suite, 1 King, Pemandangan resor, Lantai rendah, Balkon</t>
  </si>
  <si>
    <t>Metland Hotels Group</t>
  </si>
  <si>
    <t>HORISON ULTIMA BEKASI</t>
  </si>
  <si>
    <t>intan.agustini@metropolitanland.com</t>
  </si>
  <si>
    <t>Sampling Traveloka Periode Juni terdapat selisih nilai +-150ribu per malam</t>
  </si>
  <si>
    <t xml:space="preserve">METLAND HOTEL BEKASI </t>
  </si>
  <si>
    <t>Harga sesuai, ref sampling Traveloka Periode Juni masih lebih baik</t>
  </si>
  <si>
    <t>Jawa Barat</t>
  </si>
  <si>
    <t>METLAND HOTEL SMARA KERTAJATI</t>
  </si>
  <si>
    <t>Harga sesuai, ref sampling Traveloka Periode Juni Total 1 room(s), 1 night Rp 814.960</t>
  </si>
  <si>
    <t>METLAND HOTEL CIREBON</t>
  </si>
  <si>
    <t>Ref sampling Traveloka Periode Juni Total 1 room(s), 1 night Rp 525.464</t>
  </si>
  <si>
    <t xml:space="preserve">HORISON ULTIMA SEMINYAK  </t>
  </si>
  <si>
    <t>Ref sampling Traveloka Periode Juni  Total 1 room(s), 1 night Rp 806.718</t>
  </si>
  <si>
    <t>METLAND VENYA UBUD</t>
  </si>
  <si>
    <t>Ref sampling Traveloka Periode Juni Total 1 room(s), 1 night Rp 1.815.766</t>
  </si>
  <si>
    <t>Mora Group</t>
  </si>
  <si>
    <t>MORAZEN Surabaya</t>
  </si>
  <si>
    <t>melati@moragroup.id</t>
  </si>
  <si>
    <t>Ref sampling website Moraclub periode 28-29 Juni 2026, Total Rp 956.959</t>
  </si>
  <si>
    <t>Lamora Kota Lama Surabaya</t>
  </si>
  <si>
    <t>Ref sampling website Moraclub periode 28-29 Juni 2026, Total Rp 598.500</t>
  </si>
  <si>
    <t>Morazen Yogyakarta - Kulon Progo</t>
  </si>
  <si>
    <t>Ref sampling website Moraclub periode 28-29 Juni 2026, Total Rp 783.750</t>
  </si>
  <si>
    <t xml:space="preserve">Lamora Sagan Yogyakarta </t>
  </si>
  <si>
    <t>Ref sampling website Moraclub periode 28-29 Juni 2026, Total 419.900 namun hanya untuk 1 bfast, di kontrak offering 2 bfast</t>
  </si>
  <si>
    <t>Kalimantan Selatan</t>
  </si>
  <si>
    <t xml:space="preserve">Grand Qin (4*) Banjar Baru </t>
  </si>
  <si>
    <t>Ref sampling website Moraclub periode 28-29 Juni 2026, Total Rp 1.075.932</t>
  </si>
  <si>
    <t xml:space="preserve">Qin Hotel (3*) Banjar Baru </t>
  </si>
  <si>
    <t>Ref sampling website Moraclub periode 28-29 Juni 2026, Total 585000 namun hanya untuk 1 bfast, di kontrak offering 2 bfast</t>
  </si>
  <si>
    <t>Patra Hotels and Resorts</t>
  </si>
  <si>
    <t>The Patra Bali</t>
  </si>
  <si>
    <t>fitria.sukasti@patra-jasa.com</t>
  </si>
  <si>
    <t>Patra Semarang</t>
  </si>
  <si>
    <t>Patra Cirebon</t>
  </si>
  <si>
    <t xml:space="preserve">Patra Bandung </t>
  </si>
  <si>
    <t>Patra Anyer</t>
  </si>
  <si>
    <t xml:space="preserve">Patra Dumai </t>
  </si>
  <si>
    <t xml:space="preserve">Patra Malioboro </t>
  </si>
  <si>
    <t>PHM Hotels</t>
  </si>
  <si>
    <t>THE HAVEN Bali Seminyak</t>
  </si>
  <si>
    <t xml:space="preserve">sales.seminyak@thehavenhotels.com </t>
  </si>
  <si>
    <t>Haven Deluxe Pool View</t>
  </si>
  <si>
    <t>THE 1O1 Bali Oasis Sanur</t>
  </si>
  <si>
    <t xml:space="preserve">sm.balisanur@the101hotels.com </t>
  </si>
  <si>
    <t>Deluxe room. Belum ada Published sebagai acuan. Harga di Traveloka lebih rendah</t>
  </si>
  <si>
    <t>THE 1O1 Bali Fontana Seminyak</t>
  </si>
  <si>
    <t xml:space="preserve">dos.balifontana@the101hotels.com </t>
  </si>
  <si>
    <t>THE 1O1 Malang OJ</t>
  </si>
  <si>
    <t>ados.malangoj@the101hotels.com</t>
  </si>
  <si>
    <t>THE 1O1 Yogyakarta Tugu</t>
  </si>
  <si>
    <t>dos.tugu@the101hotels.com</t>
  </si>
  <si>
    <t>Deluxe Balcony City View. Belum ada Published sebagai acuan. Harga di Traveloka lebih rendah</t>
  </si>
  <si>
    <t>THE 1O1 Bandung Dago</t>
  </si>
  <si>
    <t>dosm.dago@the101hotels.com</t>
  </si>
  <si>
    <t>Deluxe. Belum ada Published sebagai acuan. Harga di Traveloka lebih rendah</t>
  </si>
  <si>
    <t>THE 1O1 Bogor Suryakancana</t>
  </si>
  <si>
    <t>ados.suryakancana@the101hotels.com</t>
  </si>
  <si>
    <t>THE 1O1 Jakarta Sedayu Darmawangsa</t>
  </si>
  <si>
    <t xml:space="preserve">dosm.darmawangsa@the101hotels.com </t>
  </si>
  <si>
    <t>Deluxe. Belum ada Published sebagai acuan. Harga di Traveloka lebih rendah. Ref cek Traveloka Juni Rate 1.064.292</t>
  </si>
  <si>
    <t>THE 1O1 Jakarta Airport CBC</t>
  </si>
  <si>
    <t xml:space="preserve">dosm.airportcbc@the101hotels.com </t>
  </si>
  <si>
    <t>THE 1O1 Palembang Rajawali</t>
  </si>
  <si>
    <t>dos.rajawali@the101hotels.com</t>
  </si>
  <si>
    <t>Deluxe twin. Belum ada Published sebagai acuan. Harga di Traveloka lebih tinggi. Ref cek Traveloka Juni Rate 751.207</t>
  </si>
  <si>
    <t>1O1 STYLE Yogyakarta Malioboro</t>
  </si>
  <si>
    <t xml:space="preserve">dosm.malioboro@101stylehotels.com </t>
  </si>
  <si>
    <t>Deluxe City View. Belum ada Published sebagai acuan. Harga di Traveloka lebih tinggi. Ref cek Traveloka Juni Rate 956.973</t>
  </si>
  <si>
    <t xml:space="preserve">1O1 URBAN Heritage 
Yogyakarta Lynn Prawirotaman </t>
  </si>
  <si>
    <t xml:space="preserve">sm.lynn@101urbanhotels.com </t>
  </si>
  <si>
    <t>Urban deluxe. Belum ada Published sebagai acuan. Harga di Traveloka lebih rendah</t>
  </si>
  <si>
    <t>1O1 URBAN Jakarta Thamrin</t>
  </si>
  <si>
    <t>ados.thamrin@101urbanhotels.com</t>
  </si>
  <si>
    <t>Urban deluxe. Belum ada Published sebagai acuan. Harga di Traveloka lebih tinggi. Ref cek Traveloka Juni Rate 595.510</t>
  </si>
  <si>
    <t xml:space="preserve">1O1 URBAN Jakarta Kelapa Gading  </t>
  </si>
  <si>
    <t xml:space="preserve">sm.kelapagading@101urbanhotels.com </t>
  </si>
  <si>
    <t>Urban deluxe. Belum ada Published sebagai acuan. Harga di Traveloka lebih tinggi. Ref cek Traveloka Juni Rate 626.640</t>
  </si>
  <si>
    <t>1O1 URBAN Jakarta Glodok Kota Tua</t>
  </si>
  <si>
    <t>sm.glodok@101urbanhotels.com</t>
  </si>
  <si>
    <t>Urban deluxe. Belum ada Published sebagai acuan. Harga di Traveloka lebih rendah. Ref cek Traveloka Juni Rate 363.578</t>
  </si>
  <si>
    <t>FRii Resort Gili Trawangan</t>
  </si>
  <si>
    <t xml:space="preserve">sm.gilitrawangan@friihotels.com </t>
  </si>
  <si>
    <t>Superior. Belum ada Published sebagai acuan. Harga di Traveloka lebih tinggi. Ref cek Traveloka Juni Rate 847.426</t>
  </si>
  <si>
    <t>FRii Bali Echo Beach</t>
  </si>
  <si>
    <t xml:space="preserve">sm.echobeach@friihotels.com </t>
  </si>
  <si>
    <t>Superior. Belum ada Published sebagai acuan. Harga di Traveloka lebih tinggi. Ref cek Traveloka Juni Rate 822.600</t>
  </si>
  <si>
    <t>Santika Group</t>
  </si>
  <si>
    <t>HOTEL SANTIKA PREMIERE GUBENG SURABAYA</t>
  </si>
  <si>
    <t>gubengpremiere@reservation.santika.com</t>
  </si>
  <si>
    <t>Deluxe with breakfast (Sampling date 19-20 Januari 2026)</t>
  </si>
  <si>
    <t>HOTEL SANTIKA PREMIERE MALANG</t>
  </si>
  <si>
    <t>malangpremiere@reservation.santika.com</t>
  </si>
  <si>
    <t>Deluxe (Sampling date 19-20 Januari 2026)</t>
  </si>
  <si>
    <t>HOTEL SANTIKA  BANYUWANGI</t>
  </si>
  <si>
    <t>banyuwangi@reservation.santika.com</t>
  </si>
  <si>
    <t>Superior (Sampling date 19-20 Januari 2026)</t>
  </si>
  <si>
    <t>HOTEL SANTIKA BLITAR</t>
  </si>
  <si>
    <t>blitar@reservation.santika.com</t>
  </si>
  <si>
    <t>HOTEL SANTIKA GRESIK</t>
  </si>
  <si>
    <t>gresik@reservation.santika.com</t>
  </si>
  <si>
    <t>HOTEL SANTIKA PANDEGILING - SURABAYA</t>
  </si>
  <si>
    <t>pandegiling@reservation.santika.com</t>
  </si>
  <si>
    <t>HOTEL KAMPI - SURABAYA</t>
  </si>
  <si>
    <t>surabaya@reservation.kampihotels.com</t>
  </si>
  <si>
    <t>Champs Hollywood (Sampling date 19-20 Januari 2026)</t>
  </si>
  <si>
    <t>HOTEL AMARIS DARMO - SURABAYA</t>
  </si>
  <si>
    <t>bintoro@reservation.amarishotel.com</t>
  </si>
  <si>
    <t>Smart Room Twin / Smart Room Hollywood (Sampling date 19-20 Januari 2026)</t>
  </si>
  <si>
    <t>HOTEL AMARIS EMBONG MALANG - SURABAYA</t>
  </si>
  <si>
    <t>embongmalang@reservation.amarishotel.com</t>
  </si>
  <si>
    <t>Smart Room (Sampling date 19-20 Januari 2026)</t>
  </si>
  <si>
    <t>HOTEL AMARIS MARGOREJO</t>
  </si>
  <si>
    <t>margorejo@reservation.amarishotel.com</t>
  </si>
  <si>
    <t>HOTEL AMARIS MALANG</t>
  </si>
  <si>
    <t>malang@reservation.amarishotel.com</t>
  </si>
  <si>
    <t>Smart Hollywood (Sampling date 19-20 Januari 2026)</t>
  </si>
  <si>
    <t xml:space="preserve">HOTEL AMARIS MADIUN </t>
  </si>
  <si>
    <t>madiun@reservation.amarishotel.com</t>
  </si>
  <si>
    <t>HOTEL AMARIS PONOROGO</t>
  </si>
  <si>
    <t>ponorogo@reservation.amarishotel.com</t>
  </si>
  <si>
    <t>reservation@theanvayabali.com</t>
  </si>
  <si>
    <t>The KAYANA Seminyak - Bali</t>
  </si>
  <si>
    <t>lombok@reseervation.thekayana.com</t>
  </si>
  <si>
    <t>One Bedroom Deluxe Villa (Sampling date 19-20 Januari 2026)</t>
  </si>
  <si>
    <t>The KAYANA - Lombok</t>
  </si>
  <si>
    <t>Deluxe Villa (Sampling date 19-20 Januari 2026)</t>
  </si>
  <si>
    <t>The SAMAYA Seminyak - Bali</t>
  </si>
  <si>
    <t>info@thesamayabali.com</t>
  </si>
  <si>
    <t>Royal Courtyard Villa (Sampling date 19-20 Januari 2026)</t>
  </si>
  <si>
    <t>The SAMAYA Ubud - Bali</t>
  </si>
  <si>
    <t>infoubud@thesamayabali.com</t>
  </si>
  <si>
    <t>Hill Side Villa (Sampling date 19-20 Januari 2026)</t>
  </si>
  <si>
    <t>HOTEL SANTIKA KUTA - BALI</t>
  </si>
  <si>
    <t>kuta@reservation.santika.com</t>
  </si>
  <si>
    <t>HOTEL SANTIKA SILIGITA NUSA DUA-BALI</t>
  </si>
  <si>
    <t>siligita@reservation.santika.com</t>
  </si>
  <si>
    <t>HOTEL SANTIKA MATARAM - LOMBOK</t>
  </si>
  <si>
    <t>mataram@reservation.santika.com</t>
  </si>
  <si>
    <t>HOTEL KAMPI LEGIAN</t>
  </si>
  <si>
    <t>legianbali@reservation.kampihotels.com</t>
  </si>
  <si>
    <t>Champ(Sampling date 19-20 Januari 2026)</t>
  </si>
  <si>
    <t>HOTEL AMARIS DEWI SRI KUTA - BALI</t>
  </si>
  <si>
    <t>dewisri@reservation.amarishotel.com</t>
  </si>
  <si>
    <t>HOTEL AMARIS KUTA - BALI</t>
  </si>
  <si>
    <t>lebakbene@reservation.amarishotel.com</t>
  </si>
  <si>
    <t>Smart Room Double / Smart Room Twin (Sampling date 19-20 Januari 2026)</t>
  </si>
  <si>
    <t>HOTEL AMARIS PRATAMA NUSA DUA - BALI</t>
  </si>
  <si>
    <t>pratama@reservation.amarishotel.com</t>
  </si>
  <si>
    <t>Smart Room</t>
  </si>
  <si>
    <t xml:space="preserve">HOTEL AMARIS SUNSET ROAD - BALI </t>
  </si>
  <si>
    <t>sunsetroad@reservation.amarishotel.com</t>
  </si>
  <si>
    <t>Smart Room Double / Smart Room Twin</t>
  </si>
  <si>
    <t>HOTEL AMARIS TEUKU UMAR - BALI</t>
  </si>
  <si>
    <t>teukuumar@reservation.amarishotel.com</t>
  </si>
  <si>
    <t>Smart Room Twin</t>
  </si>
  <si>
    <t>HOTEL AMARIS KUPANG</t>
  </si>
  <si>
    <t>kupang@reservation.amarishotel.com</t>
  </si>
  <si>
    <t>HOTEL SANTIKA PREMIERE AMBON</t>
  </si>
  <si>
    <t>ambonpremiere@reservation.santika.com</t>
  </si>
  <si>
    <t>Deluxe Hill View</t>
  </si>
  <si>
    <t>HOTEL SANTIKA MAKASSAR</t>
  </si>
  <si>
    <t>makassar@reservation.santika.com</t>
  </si>
  <si>
    <t>Sulawesi Tengah</t>
  </si>
  <si>
    <t>HOTEL SANTIKA LUWUK</t>
  </si>
  <si>
    <t>luwuk@reservation.santika.com</t>
  </si>
  <si>
    <t>HOTEL SANTIKA PALU</t>
  </si>
  <si>
    <t>palu@santika.com</t>
  </si>
  <si>
    <t>HOTEL AMARIS AMBON</t>
  </si>
  <si>
    <t>ambon@reservation.amarishotel.com</t>
  </si>
  <si>
    <t>Smart Double / Twin</t>
  </si>
  <si>
    <t>HOTEL AMARIS GORONTALO</t>
  </si>
  <si>
    <t>gorontalo@reservation.amarishotel.com</t>
  </si>
  <si>
    <t>HOTEL AMARIS HERTASNING - MAKASSAR</t>
  </si>
  <si>
    <t>Smart Room / Smart Room Hollywood</t>
  </si>
  <si>
    <t>HOTEL AMARIS MANADO</t>
  </si>
  <si>
    <t>manado@amarishotel.com</t>
  </si>
  <si>
    <t>Smart</t>
  </si>
  <si>
    <t>HOTEL AMARIS PANAKKUKANG</t>
  </si>
  <si>
    <t>panakkukang@reservation.amarishotel.com</t>
  </si>
  <si>
    <t>HOTEL AMARIS PETTARANI</t>
  </si>
  <si>
    <t>pettarani@reservation.amarishotel.com</t>
  </si>
  <si>
    <t>HOTEL SANTIKA PREMIERE JOGJA</t>
  </si>
  <si>
    <t>jogjapremiere@reservation.santika.com</t>
  </si>
  <si>
    <t>HOTEL SANTIKA PREMIERE SEMARANG</t>
  </si>
  <si>
    <t>semarangpremiere@reservation.santika.com</t>
  </si>
  <si>
    <t>HOTEL SANTIKA GUNUNG KIDUL</t>
  </si>
  <si>
    <t>e-commerce@jogjagunungkidul.santika.com</t>
  </si>
  <si>
    <t>HOTEL AMARIS MALIOBORO</t>
  </si>
  <si>
    <t>pajeksan@reservation.amarishotel.com</t>
  </si>
  <si>
    <t>Smart Twin / Hollywood</t>
  </si>
  <si>
    <t>HOTEL AMARIS PEMUDA - SEMARANG</t>
  </si>
  <si>
    <t>pemuda@reservation.amarishotel.com</t>
  </si>
  <si>
    <t>Smart Twin &amp; Smart Double</t>
  </si>
  <si>
    <t>HOTEL AMARIS SRIWEDARI SOLO</t>
  </si>
  <si>
    <t>sriwedari@reservation.amarishotel.com</t>
  </si>
  <si>
    <t>Smart Twin Room</t>
  </si>
  <si>
    <t>HOTEL SANTIKA PREMIERE LINGGARJATI</t>
  </si>
  <si>
    <t>linggarjatipremiere@reservation.santika.com</t>
  </si>
  <si>
    <t>HOTEL SANTIKA PREMIERE GARUT</t>
  </si>
  <si>
    <t>garut@reservation.santika.com</t>
  </si>
  <si>
    <t>HOTEL SANTIKA BANDUNG</t>
  </si>
  <si>
    <t>bandung@reservation.santika.com</t>
  </si>
  <si>
    <t>HOTEL SANTIKA CIREBON</t>
  </si>
  <si>
    <t>cirebon@reservation.santika.com</t>
  </si>
  <si>
    <t>HOTEL SANTIKA PASIR KOJA - BANDUNG</t>
  </si>
  <si>
    <t>bandung.pasirkoja@reservation.santika.com</t>
  </si>
  <si>
    <t>HOTEL SANTIKA PASIR KALIKI-BANDUNG</t>
  </si>
  <si>
    <t xml:space="preserve">Deluxe Room </t>
  </si>
  <si>
    <t>HOTEL SANTIKA TASIKMALAYA</t>
  </si>
  <si>
    <t>tasikmalaya@reservation.santika.com</t>
  </si>
  <si>
    <t>HOTEL AMARIS CIMANUK</t>
  </si>
  <si>
    <t>cimanuk@reservation.amarishotel.com</t>
  </si>
  <si>
    <t>Smart Room Twin / Smart Room Double</t>
  </si>
  <si>
    <t>HOTEL AMARIS CIHAMPELAS</t>
  </si>
  <si>
    <t>cihampelas@reservation.amarishotel.com</t>
  </si>
  <si>
    <t>HOTEL AMARIS CIREBON</t>
  </si>
  <si>
    <t>cirebon@reservation.amarishotel.com</t>
  </si>
  <si>
    <t>HOTEL AMARIS SETIABUDI</t>
  </si>
  <si>
    <t>setiabudi@reservation.amarishotel.com</t>
  </si>
  <si>
    <t>HOTEL AMARIS TASIKMALAYA</t>
  </si>
  <si>
    <t>tasikmalaya@reservation.amarishotel.com</t>
  </si>
  <si>
    <t>HOTEL SANTIKA PREMIERE BEACH RESORT BELITUNG</t>
  </si>
  <si>
    <t>belitungpremiere@reservation.santika.com</t>
  </si>
  <si>
    <t>HOTEL SANTIKA PREMIERE DYANDRA MEDAN</t>
  </si>
  <si>
    <t>medanpremiere@reservation.santika.com</t>
  </si>
  <si>
    <t>HOTEL SANTIKA PREMIERE BANDARA PALEMBANG</t>
  </si>
  <si>
    <t>palembangpremiere@reservation.santika.com</t>
  </si>
  <si>
    <t>HOTEL SANTIKA PREMIERE LAMPUNG</t>
  </si>
  <si>
    <t>lampungpremiere@reservation.santika.com</t>
  </si>
  <si>
    <t>HOTEL SANTIKA PREMIERE PADANG</t>
  </si>
  <si>
    <t>padangpremiere@reservation.santika.com</t>
  </si>
  <si>
    <t>HOTEL SANTIKA BANGKA</t>
  </si>
  <si>
    <t>bangka@reservation.santika.com</t>
  </si>
  <si>
    <t>Superior Double / Twin</t>
  </si>
  <si>
    <t>HOTEL SANTIKA BATAM</t>
  </si>
  <si>
    <t>batam@reservation.santika.com</t>
  </si>
  <si>
    <t>Bengkulu</t>
  </si>
  <si>
    <t xml:space="preserve">HOTEL SANTIKA BENGKULU </t>
  </si>
  <si>
    <t>bengkulu@reservation.santika.com</t>
  </si>
  <si>
    <t>HOTEL SANTIKA BUKITTINGGI</t>
  </si>
  <si>
    <t>bukittinggi@reservation.santika.com</t>
  </si>
  <si>
    <t>HOTEL SANTIKA LAHAT</t>
  </si>
  <si>
    <t>HOTEL SANTIKA RADIAL PALEMBANG</t>
  </si>
  <si>
    <t>radialpalembang@reservation.santika.com</t>
  </si>
  <si>
    <t>HOTEL AMARIS BENGKULU</t>
  </si>
  <si>
    <t>bengkulu@reservation.amarishotel.com</t>
  </si>
  <si>
    <t>Smart Single / Smart Hollywood</t>
  </si>
  <si>
    <t>HOTEL AMARIS LAMPUNG</t>
  </si>
  <si>
    <t>lampungcity@amarishotel.com</t>
  </si>
  <si>
    <t>HOTEL AMARIS MUARA BUNGO - JAMBI</t>
  </si>
  <si>
    <t>muarabungo@reservation.amarishotel.com</t>
  </si>
  <si>
    <t>HOTEL AMARIS PADANG</t>
  </si>
  <si>
    <t>padang@reservation.amarishotel.com</t>
  </si>
  <si>
    <t>HOTEL AMARIS PALEMBANG</t>
  </si>
  <si>
    <t>palembang@reservation.amarishotel.com</t>
  </si>
  <si>
    <t>HOTEL AMARIS PEKANBARU</t>
  </si>
  <si>
    <t>pekanbaru@reservation.amarishotel.com</t>
  </si>
  <si>
    <t>HOTEL AMARIS PALANGKARAYA</t>
  </si>
  <si>
    <t>palangkaraya@reservation.amarishotel.com</t>
  </si>
  <si>
    <t>HOTEL AMARIS SAMARINDA</t>
  </si>
  <si>
    <t>samarinda@reservation.amarishotel.com</t>
  </si>
  <si>
    <t>HOTEL SANTIKA PREMIERE BINTARO</t>
  </si>
  <si>
    <t>bintaropremiere@reservation.santika.com</t>
  </si>
  <si>
    <t>HOTEL SANTIKA PREMIERE HAYAM WURUK - JAKARTA</t>
  </si>
  <si>
    <t>hayamwuruk@reservation.santika.com</t>
  </si>
  <si>
    <t xml:space="preserve">HOTEL SANTIKA PREMIERE ICE BSD City </t>
  </si>
  <si>
    <t>icebsd@reservation.santika.com</t>
  </si>
  <si>
    <t>HOTEL SANTIKA PREMIERE KOTA HARAPAN INDAH - BEKASI</t>
  </si>
  <si>
    <t>khibpremiere@reservation.santika.com</t>
  </si>
  <si>
    <t>HOTEL SANTIKA PREMIERE SLIPI - JAKARTA</t>
  </si>
  <si>
    <t>slipipremiere@reservation.santika.com</t>
  </si>
  <si>
    <t>Delixe Room</t>
  </si>
  <si>
    <t>HOTEL SANTIKA BOGOR</t>
  </si>
  <si>
    <t>bogor@reservation.santika.com</t>
  </si>
  <si>
    <t xml:space="preserve">HOTEL SANTIKA BSD City </t>
  </si>
  <si>
    <t>bsdcity@reservation.santika.com</t>
  </si>
  <si>
    <t>HOTEL SANTIKA DEPOK</t>
  </si>
  <si>
    <t>depok@reservation.santika.com</t>
  </si>
  <si>
    <t>HOTEL SANTIKA KELAPA GADING - JAKARTA</t>
  </si>
  <si>
    <t>kelapagading@reservation.santika.com</t>
  </si>
  <si>
    <t>HOTEL SANTIKA MEGACITY BEKASI</t>
  </si>
  <si>
    <t>megamallbekasi@reservation.santika.com</t>
  </si>
  <si>
    <t>KAMPI HOTEL SUNTER - JAKARTA</t>
  </si>
  <si>
    <t>jakartasunter@reservation.kampihotels.com</t>
  </si>
  <si>
    <t>HOTEL AMARIS BANDARA</t>
  </si>
  <si>
    <t>soetta@reservation.amarishotel.com</t>
  </si>
  <si>
    <t>HOTEL AMARIS BEKASI BARAT</t>
  </si>
  <si>
    <t>bekasibarat@reservation.amarishotel.com</t>
  </si>
  <si>
    <t>Smart Room Twin / Smart Room Queen</t>
  </si>
  <si>
    <t>Banten</t>
  </si>
  <si>
    <t>HOTEL AMARIS CILEGON - BANTEN</t>
  </si>
  <si>
    <t>cilegon@reservation.amarishotel.com</t>
  </si>
  <si>
    <t>HOTEL AMARIS CITRARAYA - TANGERANG</t>
  </si>
  <si>
    <t>citraraya@reservation.amarishotel.com</t>
  </si>
  <si>
    <t>HOTEL AMARIS DR. SUSILO GROGOL - JAKARTA</t>
  </si>
  <si>
    <t>grogol@reservation.amarishotel.com</t>
  </si>
  <si>
    <t>Smart Room Queen / Smart Room Twin / Smart Room Hollywood</t>
  </si>
  <si>
    <t>HOTEL AMARIS FACHRUDIN - JAKARTA</t>
  </si>
  <si>
    <t>kebonsirih@reservation.amarishotel.com</t>
  </si>
  <si>
    <t>Smart Room Twin / Smart Room Hollywood</t>
  </si>
  <si>
    <t>HOTEL AMARIS JUANDA</t>
  </si>
  <si>
    <t>juanda@reservation.amarishotel.com</t>
  </si>
  <si>
    <t>HOTEL AMARIS KALIMALANG - BEKASI</t>
  </si>
  <si>
    <t>kalimalang@reservation.amarishotel.com</t>
  </si>
  <si>
    <t>Smart Hollywood</t>
  </si>
  <si>
    <t>HOTEL AMARIS LA CODEFIN - KEMANG</t>
  </si>
  <si>
    <t>kemang@reservation.amarishotel.com</t>
  </si>
  <si>
    <t>HOTEL AMARIS MAMPANG - JAKARTA</t>
  </si>
  <si>
    <t>mampang@reservation.amarishotel.com</t>
  </si>
  <si>
    <t>HOTEL AMARIS MANGGA BESAR</t>
  </si>
  <si>
    <t>manggabesar@reservation.amarishotel.com</t>
  </si>
  <si>
    <t>HOTEL AMARIS PADJAJARAN - BOGOR</t>
  </si>
  <si>
    <t>pakuan@reservation.amarishotel.com</t>
  </si>
  <si>
    <t>pancoran@reservation.amarishotel.com</t>
  </si>
  <si>
    <t>HOTEL AMARIS PANCORAN - JAKARTA</t>
  </si>
  <si>
    <t>polim@reservation.amarishotel.com</t>
  </si>
  <si>
    <t>HOTEL AMARIS PANGLIMA POLIM I</t>
  </si>
  <si>
    <t>polim2@reservation.amarishotel.com</t>
  </si>
  <si>
    <t>HOTEL AMARIS PANGLIMA POLIM II</t>
  </si>
  <si>
    <t>jakarta.pasarbaru@amarishotel.com</t>
  </si>
  <si>
    <t>HOTEL AMARIS PASAR BARU - JAKARTA</t>
  </si>
  <si>
    <t>satrio@reservation.amarishotel.com</t>
  </si>
  <si>
    <t>HOTEL AMARIS SATRIO KUNINGAN JAKARTA</t>
  </si>
  <si>
    <t>seasoncity@reservation.amarishotel.com</t>
  </si>
  <si>
    <t>HOTEL AMARIS SENEN - JAKARTA</t>
  </si>
  <si>
    <t>senen@reservation.amarishotel.com</t>
  </si>
  <si>
    <t>HOTEL AMARIS SERPONG - TANGERANG</t>
  </si>
  <si>
    <t>serpong@reservation.amarishotel.com</t>
  </si>
  <si>
    <t>HOTEL AMARIS SLIPI - JAKARTA</t>
  </si>
  <si>
    <t>slipi@reservation.amarishotel.com</t>
  </si>
  <si>
    <t>HOTEL AMARIS TEBET - JAKARTA</t>
  </si>
  <si>
    <t>tebet@reservation.amarishotel.com</t>
  </si>
  <si>
    <t>HOTEL AMARIS TENDEAN - JAKARTA</t>
  </si>
  <si>
    <t>tendean@reservation.amarishotel.com</t>
  </si>
  <si>
    <t>HOTEL AMARIS THAMRIN CITY - JAKARTA</t>
  </si>
  <si>
    <t>thamrincity@reservation.amarishotel.com</t>
  </si>
  <si>
    <t>Shangri-La</t>
  </si>
  <si>
    <t>Shangri-La Jakarta</t>
  </si>
  <si>
    <t>dionisius.dennis@shangri-la.com</t>
  </si>
  <si>
    <t>Deluxe room single occupancy with breakfast</t>
  </si>
  <si>
    <t>Swiss Bel Hotel International</t>
  </si>
  <si>
    <t xml:space="preserve">Hotel Ciputra Jakarta </t>
  </si>
  <si>
    <t>reservation@hotelciputra.com</t>
  </si>
  <si>
    <t>Deluxe Room with breakfast, (Sample Date: 6 Jan - 7 Jan)</t>
  </si>
  <si>
    <t>Hotel Ciputra Cibubur</t>
  </si>
  <si>
    <t>resvhcc@swiss-belhotel.com</t>
  </si>
  <si>
    <t>Swiss-Belhotel Airport Jakarta</t>
  </si>
  <si>
    <t>jakarta-sbai@swiss-belhotel.com</t>
  </si>
  <si>
    <t xml:space="preserve">Swiss-Belhotel Pondok Indah </t>
  </si>
  <si>
    <t>resvsbpi@swiss-belhotel.com</t>
  </si>
  <si>
    <t>Swiss-Belresidences Kalibata</t>
  </si>
  <si>
    <t>resvsakj@swiss-belhotel.com</t>
  </si>
  <si>
    <t xml:space="preserve">Swiss-Belresidences Rasuna Epicentrum </t>
  </si>
  <si>
    <t>resvsare@swiss-belhotel.com</t>
  </si>
  <si>
    <t>Swiss-Belinn Cawang</t>
  </si>
  <si>
    <t>resvsica@swiss-belhotel.com</t>
  </si>
  <si>
    <t>Superior Room with breakfast, (Sample Date: 6 Jan - 7 Jan)</t>
  </si>
  <si>
    <t>Swiss-Belinn Wahid Hasyim</t>
  </si>
  <si>
    <t>rsvsiwh@swiss-belhotel.com</t>
  </si>
  <si>
    <t>Swiss-Belexpress Cideng</t>
  </si>
  <si>
    <t>resvsecd@swiss-belhotel.com</t>
  </si>
  <si>
    <t>Express Room with breakfast, (Sample Date: 6 Jan - 7 Jan)</t>
  </si>
  <si>
    <t>Swiss-Belinn Kemayoran</t>
  </si>
  <si>
    <t>revsike@swiss-belhotel.com</t>
  </si>
  <si>
    <t>Superior Deluxe Room with breakfast, (Sample Date: 6 Jan - 7 Jan)</t>
  </si>
  <si>
    <t>Swiss-Belinn Simatupang</t>
  </si>
  <si>
    <t>rsvsisa@swiss-belhotel.com</t>
  </si>
  <si>
    <t>Zest Hotel Airport Jakarta</t>
  </si>
  <si>
    <t>jakarta-zhai@zesthotel.com</t>
  </si>
  <si>
    <t>Zest Room with breakfast, (Sample Date: 6 Jan - 7 Jan)</t>
  </si>
  <si>
    <t>Swiss-Belhotel Serpong</t>
  </si>
  <si>
    <t>resvsbsr@swiss-belhotel.com</t>
  </si>
  <si>
    <t xml:space="preserve">
Swiss-Belcourt Serpong</t>
  </si>
  <si>
    <t>resvscsr@swiss-belhotel.com</t>
  </si>
  <si>
    <t>Swiss-Belinn Modern Cikande</t>
  </si>
  <si>
    <t>cikande@swiss-belhotel.com</t>
  </si>
  <si>
    <t>Deluxe Queen Room with breakfast, (Sample Date: 6 Jan - 7 Jan)</t>
  </si>
  <si>
    <t>Swiss-Belexpress Cilegon</t>
  </si>
  <si>
    <t>resvseci@swiss-belhotel.com</t>
  </si>
  <si>
    <t>Swiss-Belinn Cibitung</t>
  </si>
  <si>
    <t>resvsicb@swiss-belhotel.com</t>
  </si>
  <si>
    <t>Swiss-Belinn Cikarang</t>
  </si>
  <si>
    <t>resvsici@swiss-belhotel.com</t>
  </si>
  <si>
    <t>Swiss-Belinn Karawang</t>
  </si>
  <si>
    <t>reservationsika@swiss-belhotel.com</t>
  </si>
  <si>
    <t>Swiss-Belhotel Cirebon</t>
  </si>
  <si>
    <t>resvsbcr@swiss-belhotel.com</t>
  </si>
  <si>
    <t>Deluxe Twin Smoking Room with breakfast, (Sample Date: 6 Jan - 7 Jan)</t>
  </si>
  <si>
    <t>Swiss-Belhotel Bogor</t>
  </si>
  <si>
    <t>reservationsbbo@swiss-belhotel.com</t>
  </si>
  <si>
    <t>Swiss-BelCourt Bogor</t>
  </si>
  <si>
    <t>bogor-scbo@swiss-belhotel.com</t>
  </si>
  <si>
    <t>Swiss-Belinn Bogor</t>
  </si>
  <si>
    <t>bogor-sibo@swiss-belhotel.com</t>
  </si>
  <si>
    <t>Deluxe Room, with breakfast, (Sample Date: 6 Jan - 7 Jan)</t>
  </si>
  <si>
    <t>Zest Hotel Bogor</t>
  </si>
  <si>
    <t>bogor-zhbo@zesthotel.com</t>
  </si>
  <si>
    <t>Zest Queen Room, with breakfast, (Sample Date: 6 Jan - 7 Jan)</t>
  </si>
  <si>
    <t>Swiss-Belresort Dago Heritage</t>
  </si>
  <si>
    <t>resvsrda@swiss-belhotel.com</t>
  </si>
  <si>
    <t>Grand Deluxe Room, with breakfast, (Sample Date: 6 Jan - 7 Jan)</t>
  </si>
  <si>
    <t>Zest Hotel Sukajadi Bandung</t>
  </si>
  <si>
    <t>reservation-zhba@zesthotel.com</t>
  </si>
  <si>
    <t>Zest Room, with breakfast, (Sample Date: 6 Jan - 7 Jan)</t>
  </si>
  <si>
    <t>Swiss-Belinn Indramayu</t>
  </si>
  <si>
    <t>sasiin@swiss-belhotel.com</t>
  </si>
  <si>
    <t>Superior Room, with breakfast, (Sample Date: 6 Jan - 7 Jan)</t>
  </si>
  <si>
    <t xml:space="preserve">Hotel Ciputra Semarang </t>
  </si>
  <si>
    <t>rsv@hotelciputrasmg.com</t>
  </si>
  <si>
    <t xml:space="preserve">Swiss-Belhotel Airport Yogyakarta </t>
  </si>
  <si>
    <t>resvsbyo@swiss-belhotel.com</t>
  </si>
  <si>
    <t xml:space="preserve">Swiss-Belboutique Yogyakarta </t>
  </si>
  <si>
    <t>resvsqyo@swiss-belhotel.com</t>
  </si>
  <si>
    <t xml:space="preserve">Swiss-Belexpress Yogyakarta </t>
  </si>
  <si>
    <t>resvseyo@swiss-belhotel.com</t>
  </si>
  <si>
    <t>Express Room, with breakfast, (Sample Date: 6 Jan - 7 Jan)</t>
  </si>
  <si>
    <t>Swiss-Belhotel Solo</t>
  </si>
  <si>
    <t>resvsbsl@swiss-belhotel.com</t>
  </si>
  <si>
    <t xml:space="preserve">Zest Hotel Parang Raja Solo </t>
  </si>
  <si>
    <t xml:space="preserve">solo-zhps@zesthotel.com </t>
  </si>
  <si>
    <t>Zest Room (Twin Bed), with breakfast, (Sample Date: 6 Jan - 7 Jan)</t>
  </si>
  <si>
    <t>Hotel Ciputra World Surabaya</t>
  </si>
  <si>
    <t>rsvcws@swiss-belhotel.com</t>
  </si>
  <si>
    <t xml:space="preserve">Grand Swiss-Belhotel Darmo, Surabaya </t>
  </si>
  <si>
    <t>resvgbda@swiss-belhotel.com</t>
  </si>
  <si>
    <t>Swiss-Belinn Airport Surabaya</t>
  </si>
  <si>
    <t>revsias@swiss-belhotel.com</t>
  </si>
  <si>
    <t>Swiss-Belinn Tunjungan Surabaya</t>
  </si>
  <si>
    <t>resvsisu@swiss-belhotel.com</t>
  </si>
  <si>
    <t>Swiss-Belinn Manyar Surabaya</t>
  </si>
  <si>
    <t>resvsimy@swiss-belhotel.com</t>
  </si>
  <si>
    <t>Zest Hotel Jemursari Surabaya</t>
  </si>
  <si>
    <t>reservation-zhjs@zesthotel.com</t>
  </si>
  <si>
    <t>Express Queen Room</t>
  </si>
  <si>
    <t>Swiss-Belinn Malang</t>
  </si>
  <si>
    <t>resvsima@swiss-belhotel.com</t>
  </si>
  <si>
    <t xml:space="preserve">Swiss-Belhotel Lampung </t>
  </si>
  <si>
    <t>resvsbla@swiss-belhotel.com</t>
  </si>
  <si>
    <t>Deluxe Garden Room, with breakfast, (Sample Date: 6 Jan - 7 Jan)</t>
  </si>
  <si>
    <t>Swiss-Belhotel Jambi</t>
  </si>
  <si>
    <t>resvsbja@swiss-belhotel.com</t>
  </si>
  <si>
    <t>Swiss-Belinn Medan</t>
  </si>
  <si>
    <t>resvsimd@swiss-belhotel.com</t>
  </si>
  <si>
    <t>Swiss-Belinn Gajah Mada</t>
  </si>
  <si>
    <t>resvsigm@swiss-belhotel.com</t>
  </si>
  <si>
    <t xml:space="preserve">Swiss-Belhotel Harbour Bay Batam </t>
  </si>
  <si>
    <t>resvbatam@swiss-belhotel.com</t>
  </si>
  <si>
    <t>Swiss-Belinn Baloi Batam</t>
  </si>
  <si>
    <t>fomsib@swiss-belhotel.com</t>
  </si>
  <si>
    <t>Zest Hotel Harbour Bay Batam</t>
  </si>
  <si>
    <t>Swiss-Belinn Ska Pekanbaru</t>
  </si>
  <si>
    <t>pekanbaru-sipu@swiss-belhotel.com</t>
  </si>
  <si>
    <t>Swiss-Belhotel Pangkal Pinang</t>
  </si>
  <si>
    <t>rsvnsbpp@swiss-belhotel.com</t>
  </si>
  <si>
    <t>Swiss-Belresort Belitung</t>
  </si>
  <si>
    <t>resvsrta@swiss-belhotel.com</t>
  </si>
  <si>
    <t>Swiss-Belhotel Borneo Banjarmasin</t>
  </si>
  <si>
    <t>ressbb@swiss-belhotel.com</t>
  </si>
  <si>
    <t>Swiss-Belhotel Borneo Samarinda</t>
  </si>
  <si>
    <t>resvsbbs@swiss-belhotel.com</t>
  </si>
  <si>
    <t>Swiss-Belhotel Tarakan</t>
  </si>
  <si>
    <t>tarakan@swiss-belhotel.com</t>
  </si>
  <si>
    <t>Swiss-Belhotel Balikpapan</t>
  </si>
  <si>
    <t>resvsbbk@swiss-belhotel.com</t>
  </si>
  <si>
    <t>Lotusa by Swiss-Bel Hotel, Batu Licin, South Kalimantan</t>
  </si>
  <si>
    <t>resvlhsb@swiss-belhotel.com</t>
  </si>
  <si>
    <t>Swiss-Belinn Balikpapan</t>
  </si>
  <si>
    <t>resvsibk@swiss-belhotel.com</t>
  </si>
  <si>
    <t>Deluxe Twin Room, with breakfast, (Sample Date: 6 Jan - 7 Jan)</t>
  </si>
  <si>
    <t>Swiss-Belhotel Danum Palangkaraya</t>
  </si>
  <si>
    <t>resvsbpa@swiss-belhotel.com</t>
  </si>
  <si>
    <t xml:space="preserve">Swiss-Belinn Singkawang </t>
  </si>
  <si>
    <t>reservsisi@swiss-belhotel.com</t>
  </si>
  <si>
    <t>Superior (Tower 2), with breakfast, (Sample Date: 6 Jan - 7 Jan)</t>
  </si>
  <si>
    <t>Swiss-Belhotel Kendari</t>
  </si>
  <si>
    <t>reservationsbkn@swiss-belhotel.com</t>
  </si>
  <si>
    <t xml:space="preserve">Swiss-Belhotel Maleosan Manado </t>
  </si>
  <si>
    <t>manado@swiss-belhotel.com</t>
  </si>
  <si>
    <t>The Sentra Hotel Manado</t>
  </si>
  <si>
    <t>reservation@thesentramanado.com</t>
  </si>
  <si>
    <t>Swiss-Belhotel Makassar</t>
  </si>
  <si>
    <t>reservationsbmk@swiss-belhotel.com</t>
  </si>
  <si>
    <t>Deluxe City View Room, with breakfast, (Sample Date: 6 Jan - 7 Jan)</t>
  </si>
  <si>
    <t>Swiss-Belinn Panakkukang Makassar</t>
  </si>
  <si>
    <t>resvsimk@swiss-belhotel.com</t>
  </si>
  <si>
    <t>Swiss-Belinn Luwuk</t>
  </si>
  <si>
    <t>resvsilu@swiss-belhotel.com</t>
  </si>
  <si>
    <t>Swiss-Belhotel Silae Palu</t>
  </si>
  <si>
    <t>palu@swiss-belhotel.com</t>
  </si>
  <si>
    <t>Deluxe Villa Room, with breakfast, (Sample Date: 6 Jan - 7 Jan)</t>
  </si>
  <si>
    <t>Swiss-Belcourt Makassar</t>
  </si>
  <si>
    <t>makassar-scmk@swiss-belhotel.com</t>
  </si>
  <si>
    <t xml:space="preserve">Swiss-Belcourt Kupang </t>
  </si>
  <si>
    <t>resvscku@swiss-belhotel.com</t>
  </si>
  <si>
    <t>Swiss-Belhotel Ambon</t>
  </si>
  <si>
    <t>ressbam@swiss-belhotel.com</t>
  </si>
  <si>
    <t>Swiss-Belhotel Manokwari</t>
  </si>
  <si>
    <t>manokwari@swiss-belhotel.com</t>
  </si>
  <si>
    <t xml:space="preserve">Swiss-Belhotel Papua Jayapura </t>
  </si>
  <si>
    <t>jayapura@swiss-belhotel.com</t>
  </si>
  <si>
    <t xml:space="preserve">Swiss-Belhotel Merauke </t>
  </si>
  <si>
    <t>resvsbme@swiss-belhotel.com</t>
  </si>
  <si>
    <t>Swiss-Belhotel Cendrawasih Biak</t>
  </si>
  <si>
    <t>biak@swiss-belhotel.com</t>
  </si>
  <si>
    <t>Swiss-Belhotel Sorong</t>
  </si>
  <si>
    <t>sorong@swiss-belhotel.com</t>
  </si>
  <si>
    <t>Sima Sumba Hotel</t>
  </si>
  <si>
    <t>reservation@simasumba.com</t>
  </si>
  <si>
    <t>Swiss-Belinn Timika</t>
  </si>
  <si>
    <t>rsvsitm@swiss-belhotel.com</t>
  </si>
  <si>
    <t>Swiss-Belexpress Jayapura</t>
  </si>
  <si>
    <t>resvseja@swiss-belhotel.com</t>
  </si>
  <si>
    <t>Swiss-Belcourt Lombok</t>
  </si>
  <si>
    <t>rsvsclo@swiss-belhotel.com</t>
  </si>
  <si>
    <t>Zest Ambon</t>
  </si>
  <si>
    <t>Zest Double Room, with breakfast, (Sample Date: 6 Jan - 7 Jan)</t>
  </si>
  <si>
    <t>MAUA Nusa Penida</t>
  </si>
  <si>
    <t>resvmanp@swiss-belhotel.com</t>
  </si>
  <si>
    <t>Swiss-Belhotel Rainforest Kuta</t>
  </si>
  <si>
    <t>resvsbku@swiss-belhotel.com</t>
  </si>
  <si>
    <t>Swiss-Belresort Pecatu</t>
  </si>
  <si>
    <t>resvsrpe@swiss-belhotel.com</t>
  </si>
  <si>
    <t>Swiss-Belexpress Kuta</t>
  </si>
  <si>
    <t>resvseku@swiss-belhotel.com</t>
  </si>
  <si>
    <t>Swiss-Belinn Seminyak</t>
  </si>
  <si>
    <t>smsise@swiss-belhotel.com</t>
  </si>
  <si>
    <t>Swiss-Belvillas Umalas</t>
  </si>
  <si>
    <t>One Bedroom Villa, with breakfast, (Sample Date: 6 Jan - 7 Jan)</t>
  </si>
  <si>
    <t>Swiss-Belcourt Sunset</t>
  </si>
  <si>
    <t>One Bedroom Suite, with breakfast, (Sample Date: 6 Jan - 7 Jan)</t>
  </si>
  <si>
    <t>Tentrem</t>
  </si>
  <si>
    <t>Hotel Tentrem Yogyakarta</t>
  </si>
  <si>
    <t>irvan.dzulfarhan@hoteltentrem.com</t>
  </si>
  <si>
    <t>Hotel Tentrem Semarang</t>
  </si>
  <si>
    <t>smg.jso@hoteltentrem.com</t>
  </si>
  <si>
    <t>Hotel Tentrem Jakarta</t>
  </si>
  <si>
    <t>melinda.wita@hoteltentrem.com</t>
  </si>
  <si>
    <t>The Ascott Limited Indonesia</t>
  </si>
  <si>
    <t>The Grand Mansion Menteng</t>
  </si>
  <si>
    <t>sm1@thegrandmansion.co.id</t>
  </si>
  <si>
    <t>Deluxe room with breakfast</t>
  </si>
  <si>
    <t>Barcelo Hotel Group</t>
  </si>
  <si>
    <t>The Orient Jakarta</t>
  </si>
  <si>
    <t>theorientjakarta.adsm@royalhideaway.com</t>
  </si>
  <si>
    <t xml:space="preserve">Deluxe Room with breakfast (Sampling Date 2-3 Desember 2025) </t>
  </si>
  <si>
    <t>Barcelo Group</t>
  </si>
  <si>
    <t>Superior room 2 breakfast (Sampling date 8-9 Juni 2026)</t>
  </si>
  <si>
    <t>rohelin.purdjiati@hotelmulia.com</t>
  </si>
  <si>
    <t>Mulia grandeur 2 Breakfast (Sampling date 1-2 Juni 2026)</t>
  </si>
  <si>
    <t>Jawa Timur</t>
  </si>
  <si>
    <t>Jawa Tengah</t>
  </si>
  <si>
    <t>Kalimantan Utara</t>
  </si>
  <si>
    <t>Truntum Cihampelas Bandung</t>
  </si>
  <si>
    <t>febi.felian@truntumhotels.com</t>
  </si>
  <si>
    <t>Deluxe room with breakfast (Sampling date 14-15 April 2026)</t>
  </si>
  <si>
    <t>Mandarin Oriental</t>
  </si>
  <si>
    <t>myandhika@mohg.com</t>
  </si>
  <si>
    <t xml:space="preserve">Deluxe Room/Monument View Room/Monument Corner (Menghapus 2 kamar di harga 1,2 dan 1,4 untuk tahun 2026) </t>
  </si>
  <si>
    <t>cluster.dossby@vasahotelsurabaya.com</t>
  </si>
  <si>
    <t>Select room with 1 breakfast</t>
  </si>
  <si>
    <t>The Luxton</t>
  </si>
  <si>
    <t>The Luxton Bandung Hotel and Convention</t>
  </si>
  <si>
    <t>asm2@bdg.theluxton.com</t>
  </si>
  <si>
    <t>New Deluxe room with breakfast (Sampling date 6-7 April 2026)</t>
  </si>
  <si>
    <t>The Luxton Cirebon Hotel and Convention</t>
  </si>
  <si>
    <t>asm@crb.theluxton.com</t>
  </si>
  <si>
    <t>Deluxe with breakfast (Sampling date 6-7 April 2026)</t>
  </si>
  <si>
    <t xml:space="preserve">The Langham </t>
  </si>
  <si>
    <t>dzaky.ramzy@langhamhotels.com</t>
  </si>
  <si>
    <t>Gaia Cosmo Yogyakarta</t>
  </si>
  <si>
    <t>salesadmin_jog@gaiacosmo.com</t>
  </si>
  <si>
    <t>The Trans Hotel Group</t>
  </si>
  <si>
    <t>The Trans Luxury Hotel</t>
  </si>
  <si>
    <t xml:space="preserve">ratu.fania@thetranshotel.com </t>
  </si>
  <si>
    <t>Premiere room weekdays (Sampling date 5-6 Januari 2026)</t>
  </si>
  <si>
    <t>The Trans Resort Bali</t>
  </si>
  <si>
    <t>Shara.Octavia@thetranshotel.com</t>
  </si>
  <si>
    <t>Premiere room (Sampling date 5-6 Januari 2026)</t>
  </si>
  <si>
    <t>namira.ummah@thetranshotel.com</t>
  </si>
  <si>
    <t>Premiere room with breakfast (Sampling date 6-7 April 2026)</t>
  </si>
  <si>
    <t>The Trans Surabaya</t>
  </si>
  <si>
    <t>tineke.kimbal@thetranshotel.com</t>
  </si>
  <si>
    <t>Premiere room with breakfast (Sampling date 4-5 Mei 2026)</t>
  </si>
  <si>
    <t>Hilton Group</t>
  </si>
  <si>
    <t>Hilton Garden Inn Taman Palem Jakarta</t>
  </si>
  <si>
    <t>Ina.Karnina@Hilton.com</t>
  </si>
  <si>
    <t>Recommend</t>
  </si>
  <si>
    <t>King Guest Room include 2 breakfast (Sampling date 5-6 Januari 2026)</t>
  </si>
  <si>
    <t>Queenilla.Stephanik@Hilton.com</t>
  </si>
  <si>
    <t>Guest Room include breakfast (Sampling date 23-24 Februari 2026)</t>
  </si>
  <si>
    <t>Hilton Bandung</t>
  </si>
  <si>
    <t xml:space="preserve">Recommend </t>
  </si>
  <si>
    <t>Classic room include breakfast (Sampling date 30-31 Maret 2026)</t>
  </si>
  <si>
    <t>Conrad Bali</t>
  </si>
  <si>
    <t>Deluxe garden include breakfast (Sampling date 23-24 Februari 2026)</t>
  </si>
  <si>
    <t>reservation@pohotels.co.id</t>
  </si>
  <si>
    <t>Superior room with breakfast (Sampling date 14-15 April 2026)</t>
  </si>
  <si>
    <t>Four Seasons Hotel Jakarta</t>
  </si>
  <si>
    <t xml:space="preserve">amanda.anindita@fourseasons.com </t>
  </si>
  <si>
    <t>Executive Suite with breakfast (Sampling date 14-15 April 2026)</t>
  </si>
  <si>
    <t>Hotel Indonesia Kempinski Jakarta</t>
  </si>
  <si>
    <t xml:space="preserve">jennifer.beatric@kempinski.com </t>
  </si>
  <si>
    <t>Deluxe room single with breakfast (Sampling Date 9-10 Februari 2026)</t>
  </si>
  <si>
    <t>Shangrila</t>
  </si>
  <si>
    <t>Shangrila Surabaya</t>
  </si>
  <si>
    <t xml:space="preserve">Citha.Puspita@shangri-la.com </t>
  </si>
  <si>
    <t>Deluxe room single include breakfast (Sampling date 6-7 April 2026)</t>
  </si>
  <si>
    <t xml:space="preserve">michael.wijaya@hyatt.com </t>
  </si>
  <si>
    <t>1 king/2 twin bed include breakfast (Sampling date 6-7 April 2026)</t>
  </si>
  <si>
    <t>The Arista Palembang</t>
  </si>
  <si>
    <t>sales@aristapalembang.com</t>
  </si>
  <si>
    <t>Deluxe room with breakfast (Sampling date 6-7 April 2026)</t>
  </si>
  <si>
    <t>Fugo Group</t>
  </si>
  <si>
    <t>Fugo Hotel Samarinda</t>
  </si>
  <si>
    <t>sa@samarinda.fugohotels.com</t>
  </si>
  <si>
    <t>Superior Single / Double City View with breakfast (Sampling date 6-7 April 2026)</t>
  </si>
  <si>
    <t>Fugo Hotel Banjarmasin</t>
  </si>
  <si>
    <t>sa@banjarmasin.fugohotels.com</t>
  </si>
  <si>
    <t>Superior Single / Double City View with breakfast (Sampling date 4-5 Mei 2026)</t>
  </si>
  <si>
    <t>Eastparc hotel yogyakarta</t>
  </si>
  <si>
    <t>sm@eastparchotel.com</t>
  </si>
  <si>
    <t>Deluxe Room with Balcony (Sampling date 6-7 April 2026)</t>
  </si>
  <si>
    <t>The Manohara Hotel Yogyakarta</t>
  </si>
  <si>
    <t>sm2@themanoharahotelyogyakarta.com</t>
  </si>
  <si>
    <t>santi.tiurma@frasershospitality.com</t>
  </si>
  <si>
    <t>Studio Executive with breakfast (Sampling date 6-7 April 2026)</t>
  </si>
  <si>
    <t>Padma Hotel Grup</t>
  </si>
  <si>
    <t>Padma Legian Bali</t>
  </si>
  <si>
    <t>Fandy.Ponti@padmahotels.com</t>
  </si>
  <si>
    <t>Deluxe room (Sampling date 6-7 April 2026)</t>
  </si>
  <si>
    <t>Padma Ubud Bali</t>
  </si>
  <si>
    <t>Premier room non-club acces (Sampling date 6-7 April 2026)</t>
  </si>
  <si>
    <t>Aston Anyer Beach Resort</t>
  </si>
  <si>
    <t>Anyerinfo@ASTONHotelsInternational.com</t>
  </si>
  <si>
    <t>Superior Room with Breakfast (Sampling date 15 - 16 Juni 2026)</t>
  </si>
  <si>
    <t>Aston Cilegon Boutique Hotel</t>
  </si>
  <si>
    <t>cilegoninfo@ASTONHotelsInternational.com</t>
  </si>
  <si>
    <t>Aston Serang Hotel &amp; Convention Center</t>
  </si>
  <si>
    <t>Seranginfo@ASTONhotelsinternational.com</t>
  </si>
  <si>
    <t>Aston Kartika Grogol Hotel &amp; Conference Center</t>
  </si>
  <si>
    <t>grogolinfo@ASTONhotelsinternational.com</t>
  </si>
  <si>
    <t>Aston Kemayoran City Hotel</t>
  </si>
  <si>
    <t>kemayoraninfo@ASTONhotelsinternational.com</t>
  </si>
  <si>
    <t>Aston Pluit Hotel &amp; Residence</t>
  </si>
  <si>
    <t>pluitinfo@ASTONhotelsinternational.com</t>
  </si>
  <si>
    <t>favehotel Kelapa Gading</t>
  </si>
  <si>
    <t>KelapaGadingInfo@favehotels.com</t>
  </si>
  <si>
    <t>favehotel LTC Glodok</t>
  </si>
  <si>
    <t>GlodokInfo@favehotels.com</t>
  </si>
  <si>
    <t>favehotel Melawai</t>
  </si>
  <si>
    <t>melawaiinfo@favehotels.com</t>
  </si>
  <si>
    <t>favehotel PGC Cililitan</t>
  </si>
  <si>
    <t>cililitaninfo@favehotels.com</t>
  </si>
  <si>
    <t>Harper MT Haryono, Cawang</t>
  </si>
  <si>
    <t>CawangInfo@harperhotels.com</t>
  </si>
  <si>
    <t>Hotel Neo Puri Indah - Jakarta</t>
  </si>
  <si>
    <t>puriindahinfo@neohotels.com</t>
  </si>
  <si>
    <t>The Grove Suites</t>
  </si>
  <si>
    <t>info@thegrovesuites.com</t>
  </si>
  <si>
    <t>Aston Bintaro Hotel &amp; Conference Center</t>
  </si>
  <si>
    <t>bintaroinfo@astonhotelsinternational.com</t>
  </si>
  <si>
    <t>Aston Sentul Resort &amp; Conference Center</t>
  </si>
  <si>
    <t>sentulinfo@ASTONHotelsInternational.com</t>
  </si>
  <si>
    <t>favehotel Padjajaran Bogor</t>
  </si>
  <si>
    <t>bogorinfo@favehotels.com</t>
  </si>
  <si>
    <t>The Alana Hotel &amp; Conference Center, Sentul City</t>
  </si>
  <si>
    <t>SentulInfo@alanahotels.com</t>
  </si>
  <si>
    <t>GRAND ASTON Puncak Hotel &amp; Residence</t>
  </si>
  <si>
    <t>puncakinfo@ASTONHotelsInternational.com</t>
  </si>
  <si>
    <t>Harper Cikarang</t>
  </si>
  <si>
    <t>cikaranginfo@harperhotels.com</t>
  </si>
  <si>
    <t>Quest Prime Cikarang</t>
  </si>
  <si>
    <t>cikaranginfo@quest-hotels.com</t>
  </si>
  <si>
    <t>Aston Imperial Bekasi Hotel &amp; Conference Center</t>
  </si>
  <si>
    <t>bekasiinfo@astonhotelsinternational.com</t>
  </si>
  <si>
    <t>favehotel Karawang</t>
  </si>
  <si>
    <t>karawanginfo@favehotels.com</t>
  </si>
  <si>
    <t>Aston Pasteur Bandung</t>
  </si>
  <si>
    <t>pasteurinfo@ASTONhotelsinternational.com</t>
  </si>
  <si>
    <t>Aston Tropicana</t>
  </si>
  <si>
    <t>info@ASTONtropicana.com</t>
  </si>
  <si>
    <t>favehotel Braga</t>
  </si>
  <si>
    <t>bragainfo@favehotels.com</t>
  </si>
  <si>
    <t>favehotel Hyper Square, Bandung</t>
  </si>
  <si>
    <t>hypersquareinfo@favehotels.com</t>
  </si>
  <si>
    <t>favehotel Premier Cihampelas</t>
  </si>
  <si>
    <t>cihampelasinfo@favehotels.com</t>
  </si>
  <si>
    <t>Hotel Neo Dipatiukur</t>
  </si>
  <si>
    <t>dipatiukurinfo@neohotels.com</t>
  </si>
  <si>
    <t>Harper Purwakarta</t>
  </si>
  <si>
    <t>purwakartainfo@harperhotels.com</t>
  </si>
  <si>
    <t>Hotel Neo Cirebon</t>
  </si>
  <si>
    <t>cireboninfo@neohotels.com</t>
  </si>
  <si>
    <t>favehotel Malioboro, Yogyakarta</t>
  </si>
  <si>
    <t>malioboroinfo@favehotels.com</t>
  </si>
  <si>
    <t>Royal Malioboro by Aston</t>
  </si>
  <si>
    <t>royalmalioboroinfo@ASTONhotelsinternational.com</t>
  </si>
  <si>
    <t>Harper Malioboro Yogyakarta</t>
  </si>
  <si>
    <t>malioboroinfo@harperhotels.com</t>
  </si>
  <si>
    <t>Hotel Neo Malioboro</t>
  </si>
  <si>
    <t>malioboroinfo@neohotels.com</t>
  </si>
  <si>
    <t>The Alana Malioboro Hotel &amp; Conference Center</t>
  </si>
  <si>
    <t>malioboroinfo@alanahotels.com</t>
  </si>
  <si>
    <t>The Alana Yogyakarta Hotel &amp; Convention Center</t>
  </si>
  <si>
    <t>yogyakartasm@alanahotels.com</t>
  </si>
  <si>
    <t>Aston Gejayan Yogyakarta Hotel &amp; Conference Center</t>
  </si>
  <si>
    <t>gejayaninfo@astonhotelsinternational.com</t>
  </si>
  <si>
    <t>Aston Purwokerto</t>
  </si>
  <si>
    <t>info@ASTONpurwokerto.com</t>
  </si>
  <si>
    <t>Quest Hotel Simpang Lima - Semarang</t>
  </si>
  <si>
    <t>simpanglimainfo@quest-hotels.com</t>
  </si>
  <si>
    <t>Aston Solo Hotel</t>
  </si>
  <si>
    <t>soloinfo@ASTONHotelsInternational.com</t>
  </si>
  <si>
    <t>Hotel Neo Gading - Solo</t>
  </si>
  <si>
    <t>gadingsoloinfo@NEOhotels.com</t>
  </si>
  <si>
    <t>Aston Inn Rembang</t>
  </si>
  <si>
    <t>rembanginfo@favehotels.com</t>
  </si>
  <si>
    <t>Aston Madiun Hotel &amp; Conference Center</t>
  </si>
  <si>
    <t>madiuninfo@ASTONhotelsinternational.com</t>
  </si>
  <si>
    <t>favehotel Madiun</t>
  </si>
  <si>
    <t>madiuninfo@favehotels.com</t>
  </si>
  <si>
    <t>favehotel Graha Agung, Surabaya</t>
  </si>
  <si>
    <t>grahaagunginfo@favehotels.com</t>
  </si>
  <si>
    <t>favehotel MEX Tunjungan Surabaya</t>
  </si>
  <si>
    <t>surabayamexinfo@favehotels.com</t>
  </si>
  <si>
    <t>favehotel Rungkut Surabaya</t>
  </si>
  <si>
    <t>rungkutinfo@favehotels.com</t>
  </si>
  <si>
    <t>Hotel Neo Gubeng, Surabaya</t>
  </si>
  <si>
    <t>gubenginfo@neohotels.com</t>
  </si>
  <si>
    <t>Quest Hotel Darmo - Surabaya</t>
  </si>
  <si>
    <t>surabayadarmoinfo@quest-hotels.com</t>
  </si>
  <si>
    <t>Aston Inn Jemursari</t>
  </si>
  <si>
    <t>jemursarisurabayainfo@ASTONhotelsinternational.com</t>
  </si>
  <si>
    <t>The Alana Surabaya</t>
  </si>
  <si>
    <t>Surabayainfo@alanahotels.com</t>
  </si>
  <si>
    <t>Aston Gresik Hotel &amp; Conference Center</t>
  </si>
  <si>
    <t>gresikinfo@ASTONhotelsinternational.com</t>
  </si>
  <si>
    <t>Aston Sidoarjo City Hotel &amp; Conference</t>
  </si>
  <si>
    <t>sidoarjoinfo@ASTONhotelsinternational.com</t>
  </si>
  <si>
    <t>favehotel Sidoarjo</t>
  </si>
  <si>
    <t>SidoarjoInfo@favehotels.com</t>
  </si>
  <si>
    <t>Hotel Neo+ Waru Sidoarjo</t>
  </si>
  <si>
    <t>warusidoarjoinfo@neohotels.com</t>
  </si>
  <si>
    <t>Aston Jember Hotel &amp; Conference Center</t>
  </si>
  <si>
    <t>Jemberinfo@ASTONhotelsinternational.com</t>
  </si>
  <si>
    <t>Aston Inn Batu - Malang</t>
  </si>
  <si>
    <t>batuinfo@ASTONhotelsinternational.com</t>
  </si>
  <si>
    <t>favehotel Malang</t>
  </si>
  <si>
    <t>Malanginfo@favehotels.com</t>
  </si>
  <si>
    <t>The Alana Malang</t>
  </si>
  <si>
    <t>malanginfo@alanahotels.com</t>
  </si>
  <si>
    <t>Aston Bojonegoro City Hotel</t>
  </si>
  <si>
    <t>bojonegoroINFO@ASTONHotelsInternational.com</t>
  </si>
  <si>
    <t>Aston Banyuwangi Hotel &amp; Conference</t>
  </si>
  <si>
    <t>BanyuwangiInfo@ASTONHotelsInternational.com</t>
  </si>
  <si>
    <t>Aston Denpasar Hotel &amp; Convention Center</t>
  </si>
  <si>
    <t>info@ASTONdenpasar.com</t>
  </si>
  <si>
    <t>Hotel Neo Denpasar</t>
  </si>
  <si>
    <t>denpasarinfo@neohotels.com</t>
  </si>
  <si>
    <t>Quest San Hotel Denpasar</t>
  </si>
  <si>
    <t>denpasarinfo@quest-hotels.com</t>
  </si>
  <si>
    <t>Aston Kuta Hotel &amp; Residence</t>
  </si>
  <si>
    <t>kutainfo@ASTONhotelsinternational.com</t>
  </si>
  <si>
    <t>Harper Kuta Bali</t>
  </si>
  <si>
    <t>kutainfo@harperhotels.com</t>
  </si>
  <si>
    <t>Neo Kuta Jelantik</t>
  </si>
  <si>
    <t>KutaJelantikInfo@NeoHotels.Com</t>
  </si>
  <si>
    <t>Quest Vibe Dewi Sri Bali</t>
  </si>
  <si>
    <t>dewisriinfo@quest-hotels.com</t>
  </si>
  <si>
    <t>favehotel Sunset Seminyak</t>
  </si>
  <si>
    <t>sunsetseminyakinfo@favehotels.com</t>
  </si>
  <si>
    <t>Quest Hotel Kuta</t>
  </si>
  <si>
    <t>kutainfo@quest-hotels.com</t>
  </si>
  <si>
    <t>Royal Kamuela Ubud</t>
  </si>
  <si>
    <t>ubudinfo@kamuelavillas.com</t>
  </si>
  <si>
    <t>favehotel Langko Mataram</t>
  </si>
  <si>
    <t>langkoinfo@favehotels.com</t>
  </si>
  <si>
    <t>Aston Sunset Beach Resort, Gili Trawangan</t>
  </si>
  <si>
    <t>gilitrawanganinfo@ASTONhotelsinternational.com</t>
  </si>
  <si>
    <t>Aston Kupang Hotel &amp; Convention Center</t>
  </si>
  <si>
    <t>KupangInfo@ASTONhotelsinternational.com</t>
  </si>
  <si>
    <t>Hotel Neo Eltari, Kupang</t>
  </si>
  <si>
    <t>eltariinfo@neohotels.com</t>
  </si>
  <si>
    <t>HARPER Kupang</t>
  </si>
  <si>
    <t>kupanginfo@harperhotels.com</t>
  </si>
  <si>
    <t>favehotel Tuban</t>
  </si>
  <si>
    <t>tubaninfo@favehotels.com</t>
  </si>
  <si>
    <t>favehotel Kediri</t>
  </si>
  <si>
    <t>kediriinfo@favehotels.com</t>
  </si>
  <si>
    <t>favehotel Olo Padang</t>
  </si>
  <si>
    <t>padanginfo@favehotels.com</t>
  </si>
  <si>
    <t>Aston Jambi Hotel &amp; Conference Center</t>
  </si>
  <si>
    <t>jambiinfo@ASTONhotelsinternational.com</t>
  </si>
  <si>
    <t>ASTON Lampung City Hotel</t>
  </si>
  <si>
    <t>lampunginfo@ASTONhotelsinternational.com</t>
  </si>
  <si>
    <t>favehotel S. Parman, Medan</t>
  </si>
  <si>
    <t>medaninfo@favehotels.com</t>
  </si>
  <si>
    <t>Harper Wahid Hasyim - Medan</t>
  </si>
  <si>
    <t>wahidhasyimmedaninfo@harperhotels.com</t>
  </si>
  <si>
    <t>Aston Palembang Hotel &amp; Conference Center</t>
  </si>
  <si>
    <t>info@ASTONpalembang.com</t>
  </si>
  <si>
    <t>favehotel Palembang</t>
  </si>
  <si>
    <t>palembanginfo@favehotels.com</t>
  </si>
  <si>
    <t>HARPER Palembang</t>
  </si>
  <si>
    <t>palembanginfo@harperhotels.com</t>
  </si>
  <si>
    <t>favehotel Sudirman, Pekanbaru</t>
  </si>
  <si>
    <t>pekanbaruinfo@favehotels.com</t>
  </si>
  <si>
    <t>Aston Batam Hotel &amp; Residence</t>
  </si>
  <si>
    <t>bataminfo@ASTONhotelsinternational.com</t>
  </si>
  <si>
    <t>Aston Inn Gideon - Batam</t>
  </si>
  <si>
    <t>BatamGideonInfo@ASTONhotelsinternational.com</t>
  </si>
  <si>
    <t>Riau</t>
  </si>
  <si>
    <t>Aston Karimun City Hotel</t>
  </si>
  <si>
    <t>info@ASTONkarimun.com</t>
  </si>
  <si>
    <t>Aston Tanjung Pinang Hotel &amp; Conference Center</t>
  </si>
  <si>
    <t>Info@ASTONTanjungPinang.com</t>
  </si>
  <si>
    <t>Aston Nagoya City Hotel</t>
  </si>
  <si>
    <t>batamnagoyainfo@ASTONhotelsinternational.com</t>
  </si>
  <si>
    <t>favehotel Nagoya</t>
  </si>
  <si>
    <t>batamnagoyainfo@favehotels.com</t>
  </si>
  <si>
    <t>Harper Premier Nagoya Batam</t>
  </si>
  <si>
    <t>batamnagoyainfo@harperhotels.com</t>
  </si>
  <si>
    <t>Hotel Neo+ Balikpapan</t>
  </si>
  <si>
    <t>balikpapaninfo@neohotels.com</t>
  </si>
  <si>
    <t>Quest Hotel Balikpapan</t>
  </si>
  <si>
    <t>BalikpapanInfo@Quest-Hotels.com</t>
  </si>
  <si>
    <t>Aston Pontianak Hotel &amp; Convention Center</t>
  </si>
  <si>
    <t>pontianakinfo@ASTONhotelsinternational.com</t>
  </si>
  <si>
    <t>Hotel Neo Gajah Mada, Pontianak</t>
  </si>
  <si>
    <t>PontianakInfo@Neohotels.com</t>
  </si>
  <si>
    <t>Aston Samarinda Hotel &amp; Convention Center</t>
  </si>
  <si>
    <t>samarindainfo@ASTONhotelsinternational.com</t>
  </si>
  <si>
    <t>Aston Tanjung City Hotel</t>
  </si>
  <si>
    <t>info@ASTONtanjung.com</t>
  </si>
  <si>
    <t>Aston Ketapang City Hotel</t>
  </si>
  <si>
    <t>info@ASTONketapang.com</t>
  </si>
  <si>
    <t>favehotel Ketapang</t>
  </si>
  <si>
    <t>ketapanginfo@favehotels.com</t>
  </si>
  <si>
    <t>favehotel Ahmad Yani, Banjarmasin</t>
  </si>
  <si>
    <t>banjarmasininfo@favehotels.com</t>
  </si>
  <si>
    <t>favehotel Banjarbaru, Banjarmasin</t>
  </si>
  <si>
    <t>banjarbaruinfo@favehotels.com</t>
  </si>
  <si>
    <t>Harper Banjarmasin</t>
  </si>
  <si>
    <t>banjarmasininfo@harperhotels.com</t>
  </si>
  <si>
    <t>Hotel Neo Palma Palangkaraya</t>
  </si>
  <si>
    <t>palmainfo@neohotels.com</t>
  </si>
  <si>
    <t>Sulawesi Utara</t>
  </si>
  <si>
    <t>favehotel Bitung</t>
  </si>
  <si>
    <t>bitunginfo@favehotels.com</t>
  </si>
  <si>
    <t>Aston Gorontalo Hotel &amp; Villas</t>
  </si>
  <si>
    <t>gorontaloinfo@ASTONhotelsinternational.com</t>
  </si>
  <si>
    <t>Aston Manado City Hotel</t>
  </si>
  <si>
    <t>info@ASTONmanado.com</t>
  </si>
  <si>
    <t>Aston Makassar Hotel &amp; Convention Center</t>
  </si>
  <si>
    <t>info@ASTONmakassar.com</t>
  </si>
  <si>
    <t>Aston Inn Hotel - Pantai Losari Makassar</t>
  </si>
  <si>
    <t>losariinfo@favehotels.com</t>
  </si>
  <si>
    <t>Harper Perintis Makassar</t>
  </si>
  <si>
    <t>perintisinfo@harperhotels.com</t>
  </si>
  <si>
    <t>Aston Palu Hotel &amp; Conference Center</t>
  </si>
  <si>
    <t>paluinfo@astonhotelsinternational.com</t>
  </si>
  <si>
    <t>Aston Jayapura Hotel &amp; Convention Center</t>
  </si>
  <si>
    <t>info@ASTONjayapura.com</t>
  </si>
  <si>
    <t>Aston Niu Manokwari Hotel and Conference Center</t>
  </si>
  <si>
    <t>manokwariinfo@astonhotelsinternational.com</t>
  </si>
  <si>
    <t>Aston Sorong Hotel &amp; Conference Center</t>
  </si>
  <si>
    <t>soronginfo@astonhotelsinternational.com</t>
  </si>
  <si>
    <t>favehotel Sorong</t>
  </si>
  <si>
    <t>Soronginfo@favehotels.com</t>
  </si>
  <si>
    <t>Aston Pekalongan</t>
  </si>
  <si>
    <t>pekalonganinfo@astonhotelsinternational.com</t>
  </si>
  <si>
    <t>Aston Inn Lumajang</t>
  </si>
  <si>
    <t>lumajanginfo@astonhotelsinternational.com</t>
  </si>
  <si>
    <t>NEO Kota Baru Parahyangan</t>
  </si>
  <si>
    <t>Parahyanganinfo@neohotels.com</t>
  </si>
  <si>
    <t>Hotel Neo+ Airport - Jakarta</t>
  </si>
  <si>
    <t>airportjakarta@neohotels.com</t>
  </si>
  <si>
    <t>Doublee Tree</t>
  </si>
  <si>
    <t>Doublee Tree By Hilton Surabaya</t>
  </si>
  <si>
    <t>Wilan.Septiana@Hilton.com</t>
  </si>
  <si>
    <t>Guest Room with Breakfast (Sampling date 6-7 April 2026)</t>
  </si>
  <si>
    <t>Veranda Hotel Pakubuwono Jakarta Selatan</t>
  </si>
  <si>
    <t>nandamahatma@veranda.co.id</t>
  </si>
  <si>
    <t>Deluxe King with breakfast (Sampling date 15-16 April 2026)</t>
  </si>
  <si>
    <t>The Darmawangsa Jakarta</t>
  </si>
  <si>
    <t>Ginasari.Hayati@the-dharmawangsa.com</t>
  </si>
  <si>
    <t>Executive room with breakfast (Sampling date 13-14 May 2026)</t>
  </si>
  <si>
    <t xml:space="preserve">Blue Sky </t>
  </si>
  <si>
    <t>Blue Sky Balikpapan</t>
  </si>
  <si>
    <t>dosm@blueskybalikpapan.com</t>
  </si>
  <si>
    <t>Bussiness Room with Breakfast (Sampling date 11-12 Mei 2026)</t>
  </si>
  <si>
    <t>Artotel Group</t>
  </si>
  <si>
    <t>ARTOTEL Leguna Magelang</t>
  </si>
  <si>
    <t>ira@artotellegunamagelang.com</t>
  </si>
  <si>
    <t>Studio 25 (standard) with breakfast (Sampling date 18 - 19 Mei 2026)</t>
  </si>
  <si>
    <t>Golden Tulip Belitung</t>
  </si>
  <si>
    <t>ados@goldentulipbelitung.com</t>
  </si>
  <si>
    <t>Deluxe room with breakfast (Sampling date 18 - 19 Mei 2026)</t>
  </si>
  <si>
    <t>Miers Kuningan, ARTOTEL Curated</t>
  </si>
  <si>
    <t>Viko@Artotelgroup.com</t>
  </si>
  <si>
    <t>Studio 23 with breakfast (Sampling date 18 - 19 Mei 2026)</t>
  </si>
  <si>
    <t>Golden Tulip Balikpapan Hotel &amp; Suites</t>
  </si>
  <si>
    <t>smm@gtbalikpapan.com</t>
  </si>
  <si>
    <t>Grand Dafam Braga Bandung</t>
  </si>
  <si>
    <t>dosm@granddafambraga.com</t>
  </si>
  <si>
    <t>Sparks Life Jakarta, ARTOTEL Curated</t>
  </si>
  <si>
    <t>dewi@sparksindonesia.com</t>
  </si>
  <si>
    <t>Superior King / Twin with breakfast (Sampling date 18 - 19 Mei 2026)</t>
  </si>
  <si>
    <t>All Nite &amp; Day Residence Kebon Jeruk</t>
  </si>
  <si>
    <t>se.allniteanddaykebonjeruk@gmail.com</t>
  </si>
  <si>
    <t>Day Room with breakfast (Sampling date 18 - 19 Mei 2026)</t>
  </si>
  <si>
    <t>Golden Tulip Essentials PIK</t>
  </si>
  <si>
    <t>dos@goldentulipessentialpik.com</t>
  </si>
  <si>
    <t>Studio with breakfast (Sampling date 18 - 19 Mei 2026)</t>
  </si>
  <si>
    <t>ARTOTEL Sanur Bali</t>
  </si>
  <si>
    <t>vinna@artotelindonesia.com</t>
  </si>
  <si>
    <t>Studio 30 with breakfast (Sampling date 18 - 19 Mei 2026)</t>
  </si>
  <si>
    <t>Myze Hotel Sumenep</t>
  </si>
  <si>
    <t>reservation@myzehotelsumenep.com</t>
  </si>
  <si>
    <t>Studio 28 (28sqm) with breakfast (Sampling date 18 - 19 Mei 2026)</t>
  </si>
  <si>
    <t>Kyriad Arra Cepu</t>
  </si>
  <si>
    <t>sales-khac@kyriad.id</t>
  </si>
  <si>
    <t>ARTOTEL TS Suites Surabaya</t>
  </si>
  <si>
    <t>denok.kurnia@artotelindonesia.com</t>
  </si>
  <si>
    <t>Studio 40 with breakfast (Sampling date 18 - 19 Mei 2026)</t>
  </si>
  <si>
    <t>Nusatu by ARTOTEL - Semarang</t>
  </si>
  <si>
    <t>oktiana@nusatubyartotel.com</t>
  </si>
  <si>
    <t>Chamber / Standard with breakfast (Sampling date 18 - 19 Mei 2026)</t>
  </si>
  <si>
    <t>ARTOTEL Living World Kota Wisata</t>
  </si>
  <si>
    <t>nielma@artotellivingworldcibubur.com</t>
  </si>
  <si>
    <t>Studio 24 / Superior with breakfast (Sampling date 18 - 19 Mei 2026)</t>
  </si>
  <si>
    <t>ARTOTEL Yogyakarta</t>
  </si>
  <si>
    <t>lia.winayasari@artotelindonesia.com</t>
  </si>
  <si>
    <t>Dafam Hotel Wonosobo</t>
  </si>
  <si>
    <t>smm@dafam-wonosobo.com</t>
  </si>
  <si>
    <t>Standart Room with breakfast (Sampling date 18 - 19 Mei 2026)</t>
  </si>
  <si>
    <t>Dafam Resort Belitung</t>
  </si>
  <si>
    <t>sales@dafamresort-belitung.com</t>
  </si>
  <si>
    <t>Deluxe Room with breakfast (Sampling date 18 - 19 Mei 2026)</t>
  </si>
  <si>
    <t>MEOTEL Purwokerto</t>
  </si>
  <si>
    <t>smm@meotelpurwokerto.com</t>
  </si>
  <si>
    <t>Superior Room with breakfast (Sampling date 18 - 19 Mei 2026)</t>
  </si>
  <si>
    <t>Artotel Harmoni Jakarta</t>
  </si>
  <si>
    <t>mega@artotelharmonijakarta.com</t>
  </si>
  <si>
    <t>Studio 25 with breakfast (Sampling date 18 - 19 Mei 2026)</t>
  </si>
  <si>
    <t>ROOMS INC d'botanica Bandung</t>
  </si>
  <si>
    <t>gina@roomsinchotels.com</t>
  </si>
  <si>
    <t>Classic Room with breakfast (Sampling date 18 - 19 Mei 2026)</t>
  </si>
  <si>
    <t>MARLIN Hotel Pekalongan</t>
  </si>
  <si>
    <t>sales@marlinpekalongan.com</t>
  </si>
  <si>
    <t>Standart Twin Room with breakfast (Sampling date 18 - 19 Mei 2026)</t>
  </si>
  <si>
    <t>ARTOTEL Casa Cikarang</t>
  </si>
  <si>
    <t>sm.cikarang@artotelcasa.com</t>
  </si>
  <si>
    <t>Studio 27 with breakfast (Sampling date 18 - 19 Mei 2026)</t>
  </si>
  <si>
    <t>Vue Palace, ARTOTEL Curated</t>
  </si>
  <si>
    <t>candra@artotelindonesia.com</t>
  </si>
  <si>
    <t>Dafam Pacific Caesar Surabaya</t>
  </si>
  <si>
    <t>smm@dafam-pacificcaesar.com</t>
  </si>
  <si>
    <t>De Braga Bandung ARTOTEL Curated</t>
  </si>
  <si>
    <t>winny@debragahotel.com</t>
  </si>
  <si>
    <t>Vasaka Hotel Jakarta</t>
  </si>
  <si>
    <t>ados.jakarta@dafam-vasaka.com</t>
  </si>
  <si>
    <t>Nite &amp; Day Candi Semarang</t>
  </si>
  <si>
    <t>noviani.mphg@gmail.com</t>
  </si>
  <si>
    <t>Shinny Nite / Standart with breakfast (Sampling date 18 - 19 Mei 2026)</t>
  </si>
  <si>
    <t>Nite &amp; Day Laguna Bintan</t>
  </si>
  <si>
    <t>sm2.niteanddaylagunabintan@gmail.com</t>
  </si>
  <si>
    <t>Sunny Day Room with breakfast (Sampling date 18 - 19 Mei 2026)</t>
  </si>
  <si>
    <t>ARTOTEL Pelangi Park</t>
  </si>
  <si>
    <t>dini.neuneu@artotelpelangipark.com</t>
  </si>
  <si>
    <t>Suite Room Glamping with breakfast (Sampling date 18 - 19 Mei 2026)</t>
  </si>
  <si>
    <t>Vasaka Hotel Makassar</t>
  </si>
  <si>
    <t>sales1.vasaka@gmail.com</t>
  </si>
  <si>
    <t>The Reiz Suite Medan ARTOTEL Curated</t>
  </si>
  <si>
    <t>susi@thereizsuites.com</t>
  </si>
  <si>
    <t>One Bedroom Suite with breakfast (Sampling date 18 - 19 Mei 2026)</t>
  </si>
  <si>
    <t>All Nite &amp; Day Gejayan Yogyakarta</t>
  </si>
  <si>
    <t>smm.allniteanddaygejayan@gmail.com</t>
  </si>
  <si>
    <t>ARTOTEL Thamrin Jakarta</t>
  </si>
  <si>
    <t>yenzhu@artotelindonesia.com</t>
  </si>
  <si>
    <t>Studio 20 with breakfast (Sampling date 18 - 19 Mei 2026)</t>
  </si>
  <si>
    <t>Rooms Inc Semarang</t>
  </si>
  <si>
    <t>theresia.pramengnugraheni@roomsinchotels.com</t>
  </si>
  <si>
    <t>Standart room with breakfast (Sampling date 18 - 19 Mei 2026)</t>
  </si>
  <si>
    <t>Maxone Loji Kridanggo Boyolali</t>
  </si>
  <si>
    <t>se.maxoneboyolali@gmail.com</t>
  </si>
  <si>
    <t>Happiness room with breakfast (Sampling date 18 - 19 Mei 2026)</t>
  </si>
  <si>
    <t>ARTOTEL Gelora Senayan</t>
  </si>
  <si>
    <t>ilman@artotelgelorasenayan.com</t>
  </si>
  <si>
    <t>Dafam Hotel Cilacap</t>
  </si>
  <si>
    <t>bs@dafamcilacap.com</t>
  </si>
  <si>
    <t>Superior room with breakfast (Sampling date 18 - 19 Mei 2026)</t>
  </si>
  <si>
    <t>ARTOTEL Haniman Ubud</t>
  </si>
  <si>
    <t>kumaladewi@artotelindonesia.com</t>
  </si>
  <si>
    <t>Laksana Hotel Solo Managed by Dafam</t>
  </si>
  <si>
    <t>fom.laksanasolo@gmail.com</t>
  </si>
  <si>
    <t>Maxone Balikpapan</t>
  </si>
  <si>
    <t>smm.maxonebalikpapan@gmail.com</t>
  </si>
  <si>
    <t>Happiness Room with breakfast (Sampling date 18 - 19 Mei 2026)</t>
  </si>
  <si>
    <t>Bono Hotel Pekanbaru</t>
  </si>
  <si>
    <t>maya@bonobyartotel.com</t>
  </si>
  <si>
    <t>Deluxe (Twin and Double) with breakfast (Sampling date 18 - 19 Mei 2026)</t>
  </si>
  <si>
    <t>Zia Kuta</t>
  </si>
  <si>
    <t>dos@ziakutahotel.com</t>
  </si>
  <si>
    <t>Superior 18 with breakfast (Sampling date 18 - 19 Mei 2026)</t>
  </si>
  <si>
    <t>Maxone Kramat</t>
  </si>
  <si>
    <t>se.maxonekramat@gmail.com</t>
  </si>
  <si>
    <t>Maxone Dharmahusada Surabaya</t>
  </si>
  <si>
    <t>smm.maxonedharmahusada@gmail.com</t>
  </si>
  <si>
    <t>ARTOTEL Batam</t>
  </si>
  <si>
    <t>maria.rizki@artotelindonesia.com</t>
  </si>
  <si>
    <t>Kyriad M2 Lampung</t>
  </si>
  <si>
    <t>sales-khml@gmail.com</t>
  </si>
  <si>
    <t>Superior with breakfast (Sampling date 18 - 19 Mei 2026)</t>
  </si>
  <si>
    <t>Grand Dafam Ancol Jakarta</t>
  </si>
  <si>
    <t>dosm@granddafamancol.com</t>
  </si>
  <si>
    <t>Deluxe Suite with breakfast (Sampling date 18 - 19 Mei 2026)</t>
  </si>
  <si>
    <t>Sparks Odeon Sukabumi, ARTOTEL Curated</t>
  </si>
  <si>
    <t>sm.sparkodeonsukabumi@gmail.com</t>
  </si>
  <si>
    <t>Dafam Express Jaksa Jakarta</t>
  </si>
  <si>
    <t>se@dafamexpress-jaksa.com</t>
  </si>
  <si>
    <t>Express Twin Room with breakfast (Sampling date 18 - 19 Mei 2026)</t>
  </si>
  <si>
    <t>Maxone Sabang</t>
  </si>
  <si>
    <t>nia@maxonehotels.com</t>
  </si>
  <si>
    <t>ARTOTEL Cabin Bromo</t>
  </si>
  <si>
    <t>sales.bromo@artotelindonesia.com</t>
  </si>
  <si>
    <t>Cabin 20 with breakfast (Sampling date 18 - 19 Mei 2026)</t>
  </si>
  <si>
    <t>BOBOTEL Gatot Subroto Medan</t>
  </si>
  <si>
    <t>gatotsubrotomedan@bobotelindonesia.com</t>
  </si>
  <si>
    <t>Studio 14 with breakfast (Sampling date 18 - 19 Mei 2026)</t>
  </si>
  <si>
    <t>Paviliun Raden Saleh, ARTOTEL Curated</t>
  </si>
  <si>
    <t>Fanisa@paviliunradensaleh.com</t>
  </si>
  <si>
    <t>Superior Twin Bed with breakfast (Sampling date 18 - 19 Mei 2026)</t>
  </si>
  <si>
    <t>Nusa Tenggara Timur</t>
  </si>
  <si>
    <t>Myze Hotel Waingapu</t>
  </si>
  <si>
    <t>ardiansyah@myzehotelwaingapu.com</t>
  </si>
  <si>
    <t>Studio 32 with breakfast (Sampling date 18 - 19 Mei 2026)</t>
  </si>
  <si>
    <t>ARTOTEL Hub Simpang Temu Jakarta</t>
  </si>
  <si>
    <t>andriyan@artotelsimpangtemu.com</t>
  </si>
  <si>
    <t>The Green Peak, ARTOTEL Curated</t>
  </si>
  <si>
    <t>bayu.saputra@thegreenpeak.com</t>
  </si>
  <si>
    <t>ARTOTEL Suites Bianti Yogyakarta</t>
  </si>
  <si>
    <t>dosm.bianti@artotelsuites.com</t>
  </si>
  <si>
    <t>Artsy Studio with breakfast (Sampling date 18 - 19 Mei 2026)</t>
  </si>
  <si>
    <t>ARTOTEL Gajahmada Semarang</t>
  </si>
  <si>
    <t>stephanie@artotelindonesia.com</t>
  </si>
  <si>
    <t>Dafam Hotel Semarang</t>
  </si>
  <si>
    <t>smm@dafamsemarang.com</t>
  </si>
  <si>
    <t>ARTOTEL Casa Kuningan</t>
  </si>
  <si>
    <t>bayu@artotelcasa.com</t>
  </si>
  <si>
    <t>ARTOTEL Casa Hangtuah</t>
  </si>
  <si>
    <t>Studio 36 with breakfast (Sampling date 18 - 19 Mei 2026)</t>
  </si>
  <si>
    <t>ROOMS INC Sudirman – Jakarta</t>
  </si>
  <si>
    <t>salesmarketing@roomsincsudirman.com</t>
  </si>
  <si>
    <t>INC20 with breakfast (Sampling date 18 - 19 Mei 2026)</t>
  </si>
  <si>
    <t>Fairview Hotel by ARTOTEL</t>
  </si>
  <si>
    <t>sales@fairviewhotelbyartotel.com</t>
  </si>
  <si>
    <t>VIVERE Hotel, Artotel Curated</t>
  </si>
  <si>
    <t>pingkan@viverehotelserpong.com</t>
  </si>
  <si>
    <t>All Nite &amp; Day Hotel Palembang Veteran</t>
  </si>
  <si>
    <t>sm.allniteanddayveteran@gmail.com</t>
  </si>
  <si>
    <t>Nite Room with breakfast (Sampling date 18 - 19 Mei 2026)</t>
  </si>
  <si>
    <t>Golden Tulip Jineng Resort Bali</t>
  </si>
  <si>
    <t>sm@goldentulipjinengresortbali.com</t>
  </si>
  <si>
    <t>Deluxe City View with breakfast  (Sampling date 18 - 19 Mei 2026)</t>
  </si>
  <si>
    <t>Platinum Hotel Tunjungan Surabaya</t>
  </si>
  <si>
    <t>scosby@platinumhotelindonesia.com</t>
  </si>
  <si>
    <t>Bussines room with breakfast (Sampling date 28-29 April 2026)</t>
  </si>
  <si>
    <t>Marriot Executive Apartment</t>
  </si>
  <si>
    <t>The Mayflower</t>
  </si>
  <si>
    <t>Poetrie.Oktaviana@marriott.com</t>
  </si>
  <si>
    <t>Superior room with breakfast (Sampling date 18-19 Mei 2026)</t>
  </si>
  <si>
    <t>Gaia Hotel Bandung</t>
  </si>
  <si>
    <t>ringsing.w@thegaiabandung.com</t>
  </si>
  <si>
    <t>Deluxe room with breakfast (Sampling date 22-23 April 2026)</t>
  </si>
  <si>
    <t xml:space="preserve">Pan Pacific </t>
  </si>
  <si>
    <t>dian.permana@Panpacific.com</t>
  </si>
  <si>
    <t>Deluxe room with breakfast (Sampling date 19-20 Mei 2026)</t>
  </si>
  <si>
    <t>Millennium Hotels and Resorts</t>
  </si>
  <si>
    <t>Millennium Hotel Sirih Jakarta</t>
  </si>
  <si>
    <t>Mustopa.Rivai@millenniumhotels.com</t>
  </si>
  <si>
    <t>Deluxe room 2 breakfast (Sampling date 8-9 Juni 2026)</t>
  </si>
  <si>
    <t>GH Universal Hotel Bandung</t>
  </si>
  <si>
    <t>admin2@ghuniversal.com</t>
  </si>
  <si>
    <t>Superior Garden View (Sampling date 1-2 Juni 2026)</t>
  </si>
  <si>
    <t>Kalimantan Timur</t>
  </si>
  <si>
    <t>Aceh</t>
  </si>
  <si>
    <t>Kepulauan Riau</t>
  </si>
  <si>
    <t>Maluku</t>
  </si>
  <si>
    <t>DKI Jakarta</t>
  </si>
  <si>
    <t>Sumatera Utara</t>
  </si>
  <si>
    <t>Kalimantan Barat</t>
  </si>
  <si>
    <t>DI Yogyakarta</t>
  </si>
  <si>
    <t>Sumatera Selatan</t>
  </si>
  <si>
    <t>Sulawesi Selatan</t>
  </si>
  <si>
    <t>Nusa Tenggara Barat</t>
  </si>
  <si>
    <t>Kalimantan Tengah</t>
  </si>
  <si>
    <t>Kepulauan Bangka Belitung</t>
  </si>
  <si>
    <t>Sumatera Barat</t>
  </si>
  <si>
    <t>Sulawesi Tenggara</t>
  </si>
  <si>
    <t>Papua Barat</t>
  </si>
  <si>
    <r>
      <t>HOTEL AMARIS PAKUAN - BOGOR</t>
    </r>
    <r>
      <rPr>
        <vertAlign val="superscript"/>
        <sz val="11"/>
        <color rgb="FF000000"/>
        <rFont val="Arial"/>
        <family val="2"/>
      </rPr>
      <t xml:space="preserve"> </t>
    </r>
  </si>
  <si>
    <t>The Anvaya Beach Resort Bali</t>
  </si>
  <si>
    <t>Trans Hotel Jakarta</t>
  </si>
  <si>
    <t>Non Group</t>
  </si>
  <si>
    <t>Premier Room King Bed (8 Agustus 2026 - 9 Agustus 2026)</t>
  </si>
  <si>
    <t>Executive King, Hollywood bed (Not available for Extra Bed) with breakfast (10 Oktober 2026 - 11 Oktober 2026)</t>
  </si>
  <si>
    <t>Superior Room 1 BF (8 Agustus 2026 - 9 Agustus 2026)</t>
  </si>
  <si>
    <t>Deluxe Double (8 Agustus 2026 - 9 Agustus 2026)</t>
  </si>
  <si>
    <t>Raffles Room (8 Agustus 2026 - 9 Agustus 2026)</t>
  </si>
  <si>
    <t>Studio Room (8 Agustus 2026 - 9 Agustus 2026)</t>
  </si>
  <si>
    <t>Swiss Advantage Studio (8 Agustus 2026 - 9 Agustus 2026)</t>
  </si>
  <si>
    <t>POP Room, Snigle bed with breakfast (8 Agustus 2026 - 9 Agustus 2026)</t>
  </si>
  <si>
    <t>Renovated, 1 Bedroom Executive, 1 King, 1 Breakfast (8 Agustus 2026 - 9 Agustus 2026)</t>
  </si>
  <si>
    <t>Studio Premiere, 1 King / 2 twin bed, 1 Pax Breakfast (10 Oktober 2026 - 11 Oktober 2026)</t>
  </si>
  <si>
    <t>Deluxe,  King / Twin bed, 1 Pax Breakfast (8 Agustus 2026 - 9 Agustus 2026)</t>
  </si>
  <si>
    <t>Deluxe Garden View with Breakfast (8 Agustus 2026 - 9 Agustus 2026)</t>
  </si>
  <si>
    <t>Deluxe Room Pool Access with breakfast  (8 Agustus 2026 - 9 Agustus 2026)</t>
  </si>
  <si>
    <t>Smart Room with breakfast (8 Agustus 2026 - 9 Agustus 2026)</t>
  </si>
  <si>
    <t>Champ Room with breakfast (8 Agustus 2026 - 9 Agustus 2026)</t>
  </si>
  <si>
    <t>Smart Room Twin with breakfast (8 Agustus 2026 - 9 Agustus 2026)</t>
  </si>
  <si>
    <t>Superior Queen with breakfast (8 Agustus 2026 - 9 Agustus 2026)</t>
  </si>
  <si>
    <t>Deluxe Room with breakfast (8 Agustus 2026 - 9 Agustus 2026)</t>
  </si>
  <si>
    <t>Superior room with breakfast (8 Agustus 2026 - 9 Agustus 2026)</t>
  </si>
  <si>
    <t>One Bedroom Suite Pool Villa with breakfast (8 Agustus 2026 - 9 Agustus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</si>
</sst>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Rp-3809]* #,##0.00_-;\-[$Rp-3809]* #,##0.00_-;_-[$Rp-3809]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等线"/>
      <family val="4"/>
      <charset val="134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rgb="FF1C1C1C"/>
      <name val="Arial"/>
      <family val="2"/>
    </font>
    <font>
      <vertAlign val="superscript"/>
      <sz val="11"/>
      <color rgb="FF000000"/>
      <name val="Arial"/>
      <family val="2"/>
    </font>
    <font>
      <sz val="11"/>
      <color rgb="FF212529"/>
      <name val="Arial"/>
      <family val="2"/>
    </font>
    <font>
      <sz val="11"/>
      <color rgb="FF222222"/>
      <name val="Arial"/>
      <family val="2"/>
    </font>
    <font>
      <sz val="11"/>
      <color rgb="FF9454C3"/>
      <name val="Arial"/>
      <family val="2"/>
    </font>
    <font>
      <b/>
      <sz val="11"/>
      <color rgb="FF121212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/>
      <bottom style="thin">
        <color indexed="64"/>
      </bottom>
      <diagonal/>
    </border>
  </borders>
  <cellStyleXfs count="12">
    <xf numFmtId="0" fontId="0" fillId="0" borderId="0"/>
    <xf numFmtId="166" fontId="3" fillId="0" borderId="0" applyFont="0" applyFill="0" applyBorder="0" applyAlignment="0" applyProtection="0"/>
    <xf numFmtId="0" fontId="4" fillId="0" borderId="0" applyBorder="0">
      <alignment vertical="center"/>
    </xf>
    <xf numFmtId="166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5">
    <xf numFmtId="0" fontId="0" fillId="0" borderId="0" xfId="0"/>
    <xf numFmtId="0" fontId="10" fillId="0" borderId="6" xfId="10" applyFont="1" applyFill="1" applyBorder="1" applyAlignment="1">
      <alignment wrapText="1"/>
    </xf>
    <xf numFmtId="0" fontId="10" fillId="0" borderId="5" xfId="10" applyFont="1" applyFill="1" applyBorder="1" applyAlignment="1">
      <alignment wrapText="1"/>
    </xf>
    <xf numFmtId="0" fontId="10" fillId="0" borderId="7" xfId="10" applyFont="1" applyFill="1" applyBorder="1" applyAlignment="1">
      <alignment wrapText="1"/>
    </xf>
    <xf numFmtId="0" fontId="10" fillId="0" borderId="12" xfId="10" applyFont="1" applyFill="1" applyBorder="1" applyAlignment="1">
      <alignment wrapText="1"/>
    </xf>
    <xf numFmtId="0" fontId="10" fillId="0" borderId="0" xfId="10" applyFont="1" applyFill="1" applyBorder="1" applyAlignment="1">
      <alignment wrapText="1"/>
    </xf>
    <xf numFmtId="0" fontId="10" fillId="0" borderId="11" xfId="10" applyFont="1" applyFill="1" applyBorder="1" applyAlignment="1">
      <alignment wrapText="1"/>
    </xf>
    <xf numFmtId="0" fontId="10" fillId="0" borderId="6" xfId="1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8" xfId="0" applyFont="1" applyFill="1" applyBorder="1"/>
    <xf numFmtId="0" fontId="6" fillId="0" borderId="13" xfId="0" applyFont="1" applyFill="1" applyBorder="1"/>
    <xf numFmtId="0" fontId="10" fillId="0" borderId="5" xfId="10" applyFont="1" applyFill="1" applyBorder="1"/>
    <xf numFmtId="167" fontId="6" fillId="0" borderId="10" xfId="0" applyNumberFormat="1" applyFont="1" applyFill="1" applyBorder="1"/>
    <xf numFmtId="167" fontId="6" fillId="0" borderId="10" xfId="11" applyNumberFormat="1" applyFont="1" applyFill="1" applyBorder="1"/>
    <xf numFmtId="167" fontId="6" fillId="0" borderId="1" xfId="11" applyNumberFormat="1" applyFont="1" applyFill="1" applyBorder="1"/>
    <xf numFmtId="41" fontId="6" fillId="0" borderId="1" xfId="11" applyFont="1" applyFill="1" applyBorder="1"/>
    <xf numFmtId="0" fontId="6" fillId="0" borderId="0" xfId="0" applyFont="1" applyFill="1"/>
    <xf numFmtId="0" fontId="9" fillId="0" borderId="1" xfId="0" applyFont="1" applyFill="1" applyBorder="1" applyAlignment="1">
      <alignment wrapText="1"/>
    </xf>
    <xf numFmtId="0" fontId="9" fillId="0" borderId="0" xfId="0" applyFont="1" applyFill="1" applyAlignment="1">
      <alignment wrapText="1"/>
    </xf>
    <xf numFmtId="167" fontId="9" fillId="0" borderId="10" xfId="0" applyNumberFormat="1" applyFont="1" applyFill="1" applyBorder="1" applyAlignment="1">
      <alignment wrapText="1"/>
    </xf>
    <xf numFmtId="167" fontId="9" fillId="0" borderId="1" xfId="0" applyNumberFormat="1" applyFont="1" applyFill="1" applyBorder="1" applyAlignment="1">
      <alignment wrapText="1"/>
    </xf>
    <xf numFmtId="0" fontId="9" fillId="0" borderId="8" xfId="0" applyFont="1" applyFill="1" applyBorder="1" applyAlignment="1">
      <alignment wrapText="1"/>
    </xf>
    <xf numFmtId="0" fontId="9" fillId="0" borderId="6" xfId="0" applyFont="1" applyFill="1" applyBorder="1" applyAlignment="1">
      <alignment wrapText="1"/>
    </xf>
    <xf numFmtId="0" fontId="9" fillId="0" borderId="25" xfId="0" applyFont="1" applyFill="1" applyBorder="1" applyAlignment="1">
      <alignment wrapText="1"/>
    </xf>
    <xf numFmtId="167" fontId="9" fillId="0" borderId="2" xfId="0" applyNumberFormat="1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167" fontId="9" fillId="0" borderId="6" xfId="0" applyNumberFormat="1" applyFont="1" applyFill="1" applyBorder="1" applyAlignment="1">
      <alignment wrapText="1"/>
    </xf>
    <xf numFmtId="167" fontId="9" fillId="0" borderId="11" xfId="0" applyNumberFormat="1" applyFont="1" applyFill="1" applyBorder="1" applyAlignment="1">
      <alignment wrapText="1"/>
    </xf>
    <xf numFmtId="0" fontId="6" fillId="0" borderId="2" xfId="0" applyFont="1" applyFill="1" applyBorder="1"/>
    <xf numFmtId="0" fontId="9" fillId="0" borderId="2" xfId="0" applyFont="1" applyFill="1" applyBorder="1" applyAlignment="1">
      <alignment wrapText="1"/>
    </xf>
    <xf numFmtId="167" fontId="9" fillId="0" borderId="0" xfId="0" applyNumberFormat="1" applyFont="1" applyFill="1" applyAlignment="1">
      <alignment wrapText="1"/>
    </xf>
    <xf numFmtId="0" fontId="9" fillId="0" borderId="1" xfId="0" applyFont="1" applyFill="1" applyBorder="1"/>
    <xf numFmtId="167" fontId="8" fillId="0" borderId="1" xfId="0" applyNumberFormat="1" applyFont="1" applyFill="1" applyBorder="1"/>
    <xf numFmtId="167" fontId="9" fillId="0" borderId="2" xfId="0" applyNumberFormat="1" applyFont="1" applyFill="1" applyBorder="1"/>
    <xf numFmtId="0" fontId="6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167" fontId="8" fillId="0" borderId="1" xfId="0" applyNumberFormat="1" applyFont="1" applyFill="1" applyBorder="1" applyAlignment="1">
      <alignment vertical="center"/>
    </xf>
    <xf numFmtId="167" fontId="9" fillId="0" borderId="1" xfId="0" applyNumberFormat="1" applyFont="1" applyFill="1" applyBorder="1" applyAlignment="1">
      <alignment vertical="center" wrapText="1"/>
    </xf>
    <xf numFmtId="167" fontId="6" fillId="0" borderId="1" xfId="11" applyNumberFormat="1" applyFont="1" applyFill="1" applyBorder="1" applyAlignment="1">
      <alignment vertical="center"/>
    </xf>
    <xf numFmtId="41" fontId="6" fillId="0" borderId="1" xfId="1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1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167" fontId="8" fillId="0" borderId="1" xfId="0" applyNumberFormat="1" applyFont="1" applyFill="1" applyBorder="1" applyAlignment="1">
      <alignment wrapText="1"/>
    </xf>
    <xf numFmtId="0" fontId="10" fillId="0" borderId="6" xfId="10" applyFont="1" applyFill="1" applyBorder="1"/>
    <xf numFmtId="0" fontId="8" fillId="0" borderId="1" xfId="0" applyFont="1" applyFill="1" applyBorder="1"/>
    <xf numFmtId="167" fontId="6" fillId="0" borderId="1" xfId="0" applyNumberFormat="1" applyFont="1" applyFill="1" applyBorder="1"/>
    <xf numFmtId="167" fontId="6" fillId="0" borderId="0" xfId="0" applyNumberFormat="1" applyFont="1" applyFill="1"/>
    <xf numFmtId="0" fontId="6" fillId="0" borderId="0" xfId="0" applyFont="1" applyFill="1" applyAlignment="1">
      <alignment horizontal="left" vertical="center"/>
    </xf>
    <xf numFmtId="167" fontId="6" fillId="0" borderId="2" xfId="11" applyNumberFormat="1" applyFont="1" applyFill="1" applyBorder="1"/>
    <xf numFmtId="167" fontId="6" fillId="0" borderId="0" xfId="11" applyNumberFormat="1" applyFont="1" applyFill="1" applyBorder="1"/>
    <xf numFmtId="167" fontId="6" fillId="0" borderId="24" xfId="0" applyNumberFormat="1" applyFont="1" applyFill="1" applyBorder="1"/>
    <xf numFmtId="167" fontId="6" fillId="0" borderId="6" xfId="11" applyNumberFormat="1" applyFont="1" applyFill="1" applyBorder="1"/>
    <xf numFmtId="167" fontId="6" fillId="0" borderId="22" xfId="0" applyNumberFormat="1" applyFont="1" applyFill="1" applyBorder="1"/>
    <xf numFmtId="0" fontId="10" fillId="0" borderId="7" xfId="10" applyFont="1" applyFill="1" applyBorder="1"/>
    <xf numFmtId="167" fontId="6" fillId="0" borderId="6" xfId="0" applyNumberFormat="1" applyFont="1" applyFill="1" applyBorder="1"/>
    <xf numFmtId="167" fontId="6" fillId="0" borderId="11" xfId="0" applyNumberFormat="1" applyFont="1" applyFill="1" applyBorder="1"/>
    <xf numFmtId="0" fontId="10" fillId="0" borderId="12" xfId="10" applyFont="1" applyFill="1" applyBorder="1"/>
    <xf numFmtId="167" fontId="6" fillId="0" borderId="2" xfId="0" applyNumberFormat="1" applyFont="1" applyFill="1" applyBorder="1"/>
    <xf numFmtId="0" fontId="8" fillId="0" borderId="0" xfId="0" applyFont="1" applyFill="1"/>
    <xf numFmtId="0" fontId="10" fillId="0" borderId="6" xfId="10" applyFont="1" applyFill="1" applyBorder="1" applyAlignment="1"/>
    <xf numFmtId="0" fontId="6" fillId="0" borderId="6" xfId="0" applyFont="1" applyFill="1" applyBorder="1"/>
    <xf numFmtId="0" fontId="6" fillId="0" borderId="26" xfId="0" applyFont="1" applyFill="1" applyBorder="1"/>
    <xf numFmtId="0" fontId="6" fillId="0" borderId="1" xfId="0" applyFont="1" applyFill="1" applyBorder="1" applyAlignment="1">
      <alignment wrapText="1"/>
    </xf>
    <xf numFmtId="167" fontId="6" fillId="0" borderId="1" xfId="0" applyNumberFormat="1" applyFont="1" applyFill="1" applyBorder="1" applyAlignment="1">
      <alignment wrapText="1"/>
    </xf>
    <xf numFmtId="0" fontId="8" fillId="0" borderId="2" xfId="0" applyFont="1" applyFill="1" applyBorder="1" applyAlignment="1">
      <alignment wrapText="1"/>
    </xf>
    <xf numFmtId="0" fontId="6" fillId="0" borderId="18" xfId="0" applyFont="1" applyFill="1" applyBorder="1"/>
    <xf numFmtId="0" fontId="8" fillId="0" borderId="18" xfId="0" applyFont="1" applyFill="1" applyBorder="1" applyAlignment="1">
      <alignment wrapText="1"/>
    </xf>
    <xf numFmtId="0" fontId="10" fillId="0" borderId="18" xfId="10" applyFont="1" applyFill="1" applyBorder="1" applyAlignment="1">
      <alignment wrapText="1"/>
    </xf>
    <xf numFmtId="167" fontId="6" fillId="0" borderId="18" xfId="0" applyNumberFormat="1" applyFont="1" applyFill="1" applyBorder="1"/>
    <xf numFmtId="167" fontId="6" fillId="0" borderId="18" xfId="11" applyNumberFormat="1" applyFont="1" applyFill="1" applyBorder="1"/>
    <xf numFmtId="167" fontId="8" fillId="0" borderId="18" xfId="0" applyNumberFormat="1" applyFont="1" applyFill="1" applyBorder="1" applyAlignment="1">
      <alignment wrapText="1"/>
    </xf>
    <xf numFmtId="167" fontId="6" fillId="0" borderId="0" xfId="0" applyNumberFormat="1" applyFont="1" applyFill="1" applyAlignment="1">
      <alignment wrapText="1"/>
    </xf>
    <xf numFmtId="41" fontId="6" fillId="0" borderId="0" xfId="11" applyFont="1" applyFill="1" applyBorder="1"/>
    <xf numFmtId="0" fontId="10" fillId="0" borderId="18" xfId="10" applyFont="1" applyFill="1" applyBorder="1"/>
    <xf numFmtId="167" fontId="8" fillId="0" borderId="1" xfId="0" applyNumberFormat="1" applyFont="1" applyFill="1" applyBorder="1" applyAlignment="1">
      <alignment horizontal="left" vertical="center" wrapText="1"/>
    </xf>
    <xf numFmtId="0" fontId="6" fillId="0" borderId="3" xfId="0" applyFont="1" applyFill="1" applyBorder="1"/>
    <xf numFmtId="167" fontId="16" fillId="0" borderId="1" xfId="0" applyNumberFormat="1" applyFont="1" applyFill="1" applyBorder="1"/>
    <xf numFmtId="167" fontId="6" fillId="0" borderId="1" xfId="11" applyNumberFormat="1" applyFont="1" applyFill="1" applyBorder="1" applyAlignment="1">
      <alignment horizontal="left" vertical="center"/>
    </xf>
    <xf numFmtId="0" fontId="10" fillId="0" borderId="6" xfId="10" applyFont="1" applyFill="1" applyBorder="1" applyAlignment="1">
      <alignment vertical="center"/>
    </xf>
    <xf numFmtId="167" fontId="11" fillId="0" borderId="1" xfId="0" applyNumberFormat="1" applyFont="1" applyFill="1" applyBorder="1" applyAlignment="1">
      <alignment vertical="center"/>
    </xf>
    <xf numFmtId="0" fontId="6" fillId="0" borderId="12" xfId="0" applyFont="1" applyFill="1" applyBorder="1"/>
    <xf numFmtId="41" fontId="6" fillId="0" borderId="2" xfId="11" applyFont="1" applyFill="1" applyBorder="1"/>
    <xf numFmtId="41" fontId="6" fillId="0" borderId="21" xfId="11" applyFont="1" applyFill="1" applyBorder="1"/>
    <xf numFmtId="0" fontId="8" fillId="0" borderId="22" xfId="0" applyFont="1" applyFill="1" applyBorder="1" applyAlignment="1">
      <alignment wrapText="1"/>
    </xf>
    <xf numFmtId="0" fontId="8" fillId="0" borderId="2" xfId="0" applyFont="1" applyFill="1" applyBorder="1"/>
    <xf numFmtId="0" fontId="6" fillId="0" borderId="2" xfId="0" applyFont="1" applyFill="1" applyBorder="1" applyAlignment="1">
      <alignment wrapText="1"/>
    </xf>
    <xf numFmtId="0" fontId="8" fillId="0" borderId="2" xfId="0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right"/>
    </xf>
    <xf numFmtId="0" fontId="6" fillId="0" borderId="21" xfId="0" applyFont="1" applyFill="1" applyBorder="1"/>
    <xf numFmtId="0" fontId="11" fillId="0" borderId="6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6" fillId="0" borderId="21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167" fontId="6" fillId="0" borderId="2" xfId="0" applyNumberFormat="1" applyFont="1" applyFill="1" applyBorder="1" applyAlignment="1">
      <alignment vertical="center"/>
    </xf>
    <xf numFmtId="167" fontId="6" fillId="0" borderId="6" xfId="11" applyNumberFormat="1" applyFont="1" applyFill="1" applyBorder="1" applyAlignment="1">
      <alignment vertical="center"/>
    </xf>
    <xf numFmtId="167" fontId="6" fillId="0" borderId="2" xfId="11" applyNumberFormat="1" applyFont="1" applyFill="1" applyBorder="1" applyAlignment="1">
      <alignment vertical="center"/>
    </xf>
    <xf numFmtId="41" fontId="6" fillId="0" borderId="2" xfId="11" applyFont="1" applyFill="1" applyBorder="1" applyAlignment="1">
      <alignment vertical="center"/>
    </xf>
    <xf numFmtId="0" fontId="6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wrapText="1"/>
    </xf>
    <xf numFmtId="0" fontId="10" fillId="0" borderId="0" xfId="10" applyFont="1" applyFill="1" applyBorder="1"/>
    <xf numFmtId="41" fontId="6" fillId="0" borderId="0" xfId="11" applyFont="1" applyFill="1"/>
    <xf numFmtId="0" fontId="9" fillId="0" borderId="10" xfId="0" applyFont="1" applyFill="1" applyBorder="1" applyAlignment="1">
      <alignment wrapText="1"/>
    </xf>
    <xf numFmtId="0" fontId="10" fillId="0" borderId="10" xfId="10" applyFont="1" applyFill="1" applyBorder="1"/>
    <xf numFmtId="0" fontId="6" fillId="0" borderId="10" xfId="0" applyFont="1" applyFill="1" applyBorder="1"/>
    <xf numFmtId="0" fontId="9" fillId="0" borderId="11" xfId="0" applyFont="1" applyFill="1" applyBorder="1" applyAlignment="1">
      <alignment wrapText="1"/>
    </xf>
    <xf numFmtId="0" fontId="10" fillId="0" borderId="11" xfId="10" applyFont="1" applyFill="1" applyBorder="1"/>
    <xf numFmtId="167" fontId="6" fillId="0" borderId="11" xfId="11" applyNumberFormat="1" applyFont="1" applyFill="1" applyBorder="1"/>
    <xf numFmtId="0" fontId="6" fillId="0" borderId="11" xfId="0" applyFont="1" applyFill="1" applyBorder="1"/>
    <xf numFmtId="167" fontId="6" fillId="0" borderId="0" xfId="0" applyNumberFormat="1" applyFont="1" applyFill="1" applyAlignment="1">
      <alignment vertical="center"/>
    </xf>
    <xf numFmtId="0" fontId="10" fillId="0" borderId="31" xfId="10" applyFont="1" applyFill="1" applyBorder="1"/>
    <xf numFmtId="0" fontId="10" fillId="0" borderId="13" xfId="10" applyFont="1" applyFill="1" applyBorder="1"/>
    <xf numFmtId="0" fontId="8" fillId="0" borderId="30" xfId="0" applyFont="1" applyFill="1" applyBorder="1" applyAlignment="1">
      <alignment wrapText="1"/>
    </xf>
    <xf numFmtId="0" fontId="8" fillId="0" borderId="29" xfId="0" applyFont="1" applyFill="1" applyBorder="1" applyAlignment="1">
      <alignment wrapText="1"/>
    </xf>
    <xf numFmtId="0" fontId="8" fillId="0" borderId="28" xfId="0" applyFont="1" applyFill="1" applyBorder="1" applyAlignment="1">
      <alignment wrapText="1"/>
    </xf>
    <xf numFmtId="0" fontId="8" fillId="0" borderId="31" xfId="0" applyFont="1" applyFill="1" applyBorder="1" applyAlignment="1">
      <alignment wrapText="1"/>
    </xf>
    <xf numFmtId="0" fontId="10" fillId="0" borderId="27" xfId="10" applyFont="1" applyFill="1" applyBorder="1" applyAlignment="1">
      <alignment wrapText="1"/>
    </xf>
    <xf numFmtId="0" fontId="8" fillId="0" borderId="9" xfId="0" applyFont="1" applyFill="1" applyBorder="1" applyAlignment="1">
      <alignment wrapText="1"/>
    </xf>
    <xf numFmtId="0" fontId="8" fillId="0" borderId="3" xfId="0" applyFont="1" applyFill="1" applyBorder="1" applyAlignment="1">
      <alignment wrapText="1"/>
    </xf>
    <xf numFmtId="0" fontId="6" fillId="0" borderId="31" xfId="0" applyFont="1" applyFill="1" applyBorder="1"/>
    <xf numFmtId="0" fontId="6" fillId="0" borderId="1" xfId="0" applyFont="1" applyFill="1" applyBorder="1" applyAlignment="1">
      <alignment horizontal="center"/>
    </xf>
    <xf numFmtId="167" fontId="6" fillId="0" borderId="1" xfId="0" applyNumberFormat="1" applyFont="1" applyFill="1" applyBorder="1" applyAlignment="1">
      <alignment readingOrder="1"/>
    </xf>
    <xf numFmtId="0" fontId="6" fillId="0" borderId="31" xfId="0" applyFont="1" applyFill="1" applyBorder="1" applyAlignment="1">
      <alignment readingOrder="1"/>
    </xf>
    <xf numFmtId="0" fontId="10" fillId="0" borderId="6" xfId="10" applyFont="1" applyFill="1" applyBorder="1" applyAlignment="1">
      <alignment readingOrder="1"/>
    </xf>
    <xf numFmtId="167" fontId="13" fillId="0" borderId="1" xfId="0" applyNumberFormat="1" applyFont="1" applyFill="1" applyBorder="1"/>
    <xf numFmtId="167" fontId="13" fillId="0" borderId="2" xfId="0" applyNumberFormat="1" applyFont="1" applyFill="1" applyBorder="1"/>
    <xf numFmtId="0" fontId="6" fillId="0" borderId="15" xfId="0" applyFont="1" applyFill="1" applyBorder="1"/>
    <xf numFmtId="0" fontId="10" fillId="0" borderId="15" xfId="10" applyFont="1" applyFill="1" applyBorder="1"/>
    <xf numFmtId="167" fontId="6" fillId="0" borderId="15" xfId="11" applyNumberFormat="1" applyFont="1" applyFill="1" applyBorder="1"/>
    <xf numFmtId="0" fontId="6" fillId="0" borderId="14" xfId="0" applyFont="1" applyFill="1" applyBorder="1"/>
    <xf numFmtId="0" fontId="6" fillId="0" borderId="16" xfId="0" applyFont="1" applyFill="1" applyBorder="1"/>
    <xf numFmtId="0" fontId="10" fillId="0" borderId="16" xfId="10" applyFont="1" applyFill="1" applyBorder="1"/>
    <xf numFmtId="167" fontId="6" fillId="0" borderId="14" xfId="0" applyNumberFormat="1" applyFont="1" applyFill="1" applyBorder="1"/>
    <xf numFmtId="167" fontId="6" fillId="0" borderId="16" xfId="11" applyNumberFormat="1" applyFont="1" applyFill="1" applyBorder="1"/>
    <xf numFmtId="41" fontId="6" fillId="0" borderId="14" xfId="11" applyFont="1" applyFill="1" applyBorder="1"/>
    <xf numFmtId="167" fontId="14" fillId="0" borderId="14" xfId="0" applyNumberFormat="1" applyFont="1" applyFill="1" applyBorder="1"/>
    <xf numFmtId="0" fontId="6" fillId="0" borderId="14" xfId="0" applyFont="1" applyFill="1" applyBorder="1" applyAlignment="1">
      <alignment readingOrder="1"/>
    </xf>
    <xf numFmtId="0" fontId="6" fillId="0" borderId="16" xfId="0" applyFont="1" applyFill="1" applyBorder="1" applyAlignment="1">
      <alignment readingOrder="1"/>
    </xf>
    <xf numFmtId="0" fontId="15" fillId="0" borderId="16" xfId="0" applyFont="1" applyFill="1" applyBorder="1" applyAlignment="1">
      <alignment readingOrder="1"/>
    </xf>
    <xf numFmtId="167" fontId="6" fillId="0" borderId="14" xfId="0" applyNumberFormat="1" applyFont="1" applyFill="1" applyBorder="1" applyAlignment="1">
      <alignment readingOrder="1"/>
    </xf>
    <xf numFmtId="167" fontId="6" fillId="0" borderId="16" xfId="0" applyNumberFormat="1" applyFont="1" applyFill="1" applyBorder="1" applyAlignment="1">
      <alignment readingOrder="1"/>
    </xf>
    <xf numFmtId="0" fontId="6" fillId="0" borderId="0" xfId="0" applyFont="1" applyFill="1" applyAlignment="1">
      <alignment readingOrder="1"/>
    </xf>
    <xf numFmtId="0" fontId="6" fillId="0" borderId="32" xfId="0" applyFont="1" applyFill="1" applyBorder="1" applyAlignment="1">
      <alignment readingOrder="1"/>
    </xf>
    <xf numFmtId="0" fontId="6" fillId="0" borderId="1" xfId="0" applyFont="1" applyFill="1" applyBorder="1" applyAlignment="1">
      <alignment readingOrder="1"/>
    </xf>
    <xf numFmtId="0" fontId="15" fillId="0" borderId="6" xfId="0" applyFont="1" applyFill="1" applyBorder="1" applyAlignment="1">
      <alignment readingOrder="1"/>
    </xf>
    <xf numFmtId="167" fontId="6" fillId="0" borderId="0" xfId="0" applyNumberFormat="1" applyFont="1" applyFill="1" applyAlignment="1">
      <alignment readingOrder="1"/>
    </xf>
    <xf numFmtId="0" fontId="6" fillId="0" borderId="6" xfId="0" applyFont="1" applyFill="1" applyBorder="1" applyAlignment="1">
      <alignment readingOrder="1"/>
    </xf>
    <xf numFmtId="0" fontId="6" fillId="0" borderId="15" xfId="0" applyFont="1" applyFill="1" applyBorder="1" applyAlignment="1">
      <alignment readingOrder="1"/>
    </xf>
    <xf numFmtId="0" fontId="15" fillId="0" borderId="15" xfId="0" applyFont="1" applyFill="1" applyBorder="1" applyAlignment="1">
      <alignment readingOrder="1"/>
    </xf>
    <xf numFmtId="167" fontId="6" fillId="0" borderId="15" xfId="0" applyNumberFormat="1" applyFont="1" applyFill="1" applyBorder="1" applyAlignment="1">
      <alignment readingOrder="1"/>
    </xf>
    <xf numFmtId="0" fontId="10" fillId="0" borderId="16" xfId="10" applyFont="1" applyFill="1" applyBorder="1" applyAlignment="1">
      <alignment readingOrder="1"/>
    </xf>
    <xf numFmtId="0" fontId="10" fillId="0" borderId="16" xfId="0" applyFont="1" applyFill="1" applyBorder="1"/>
    <xf numFmtId="167" fontId="6" fillId="0" borderId="16" xfId="0" applyNumberFormat="1" applyFont="1" applyFill="1" applyBorder="1"/>
    <xf numFmtId="0" fontId="6" fillId="0" borderId="16" xfId="0" applyFont="1" applyFill="1" applyBorder="1" applyAlignment="1">
      <alignment wrapText="1" readingOrder="1"/>
    </xf>
    <xf numFmtId="0" fontId="6" fillId="0" borderId="10" xfId="0" applyFont="1" applyFill="1" applyBorder="1" applyAlignment="1">
      <alignment readingOrder="1"/>
    </xf>
    <xf numFmtId="0" fontId="6" fillId="0" borderId="2" xfId="0" applyFont="1" applyFill="1" applyBorder="1" applyAlignment="1">
      <alignment readingOrder="1"/>
    </xf>
    <xf numFmtId="0" fontId="6" fillId="0" borderId="8" xfId="0" applyFont="1" applyFill="1" applyBorder="1" applyAlignment="1">
      <alignment readingOrder="1"/>
    </xf>
    <xf numFmtId="167" fontId="6" fillId="0" borderId="2" xfId="0" applyNumberFormat="1" applyFont="1" applyFill="1" applyBorder="1" applyAlignment="1">
      <alignment readingOrder="1"/>
    </xf>
    <xf numFmtId="0" fontId="6" fillId="0" borderId="33" xfId="0" applyFont="1" applyFill="1" applyBorder="1" applyAlignment="1">
      <alignment readingOrder="1"/>
    </xf>
    <xf numFmtId="0" fontId="15" fillId="0" borderId="33" xfId="0" applyFont="1" applyFill="1" applyBorder="1" applyAlignment="1">
      <alignment readingOrder="1"/>
    </xf>
    <xf numFmtId="0" fontId="6" fillId="0" borderId="22" xfId="0" applyFont="1" applyFill="1" applyBorder="1" applyAlignment="1">
      <alignment readingOrder="1"/>
    </xf>
    <xf numFmtId="0" fontId="6" fillId="0" borderId="21" xfId="0" applyFont="1" applyFill="1" applyBorder="1" applyAlignment="1">
      <alignment readingOrder="1"/>
    </xf>
    <xf numFmtId="167" fontId="6" fillId="0" borderId="22" xfId="0" applyNumberFormat="1" applyFont="1" applyFill="1" applyBorder="1" applyAlignment="1">
      <alignment readingOrder="1"/>
    </xf>
    <xf numFmtId="0" fontId="6" fillId="0" borderId="34" xfId="0" applyFont="1" applyFill="1" applyBorder="1" applyAlignment="1">
      <alignment readingOrder="1"/>
    </xf>
    <xf numFmtId="0" fontId="15" fillId="0" borderId="34" xfId="0" applyFont="1" applyFill="1" applyBorder="1" applyAlignment="1">
      <alignment readingOrder="1"/>
    </xf>
    <xf numFmtId="0" fontId="6" fillId="0" borderId="19" xfId="0" applyFont="1" applyFill="1" applyBorder="1" applyAlignment="1">
      <alignment readingOrder="1"/>
    </xf>
    <xf numFmtId="0" fontId="6" fillId="0" borderId="7" xfId="0" applyFont="1" applyFill="1" applyBorder="1" applyAlignment="1">
      <alignment readingOrder="1"/>
    </xf>
    <xf numFmtId="0" fontId="6" fillId="0" borderId="36" xfId="0" applyFont="1" applyFill="1" applyBorder="1" applyAlignment="1">
      <alignment readingOrder="1"/>
    </xf>
    <xf numFmtId="0" fontId="6" fillId="0" borderId="35" xfId="0" applyFont="1" applyFill="1" applyBorder="1" applyAlignment="1">
      <alignment readingOrder="1"/>
    </xf>
    <xf numFmtId="0" fontId="10" fillId="0" borderId="15" xfId="10" applyFont="1" applyFill="1" applyBorder="1" applyAlignment="1">
      <alignment readingOrder="1"/>
    </xf>
    <xf numFmtId="0" fontId="6" fillId="0" borderId="12" xfId="0" applyFont="1" applyFill="1" applyBorder="1" applyAlignment="1">
      <alignment readingOrder="1"/>
    </xf>
    <xf numFmtId="0" fontId="10" fillId="0" borderId="12" xfId="10" applyFont="1" applyFill="1" applyBorder="1" applyAlignment="1">
      <alignment readingOrder="1"/>
    </xf>
    <xf numFmtId="0" fontId="6" fillId="0" borderId="20" xfId="0" applyFont="1" applyFill="1" applyBorder="1" applyAlignment="1">
      <alignment readingOrder="1"/>
    </xf>
    <xf numFmtId="0" fontId="6" fillId="0" borderId="17" xfId="0" applyFont="1" applyFill="1" applyBorder="1"/>
    <xf numFmtId="0" fontId="10" fillId="0" borderId="4" xfId="10" applyFont="1" applyFill="1" applyBorder="1" applyAlignment="1">
      <alignment readingOrder="1"/>
    </xf>
    <xf numFmtId="0" fontId="7" fillId="0" borderId="22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41" fontId="17" fillId="0" borderId="0" xfId="11" applyFont="1" applyFill="1" applyAlignment="1">
      <alignment horizontal="center"/>
    </xf>
    <xf numFmtId="0" fontId="17" fillId="0" borderId="0" xfId="0" applyFont="1" applyFill="1" applyAlignment="1">
      <alignment horizontal="center"/>
    </xf>
  </cellXfs>
  <cellStyles count="12">
    <cellStyle name="Comma [0]" xfId="11" builtinId="6"/>
    <cellStyle name="Comma [0] 2" xfId="4" xr:uid="{8E17A602-3747-43AB-8D05-F9E3F5DA16F6}"/>
    <cellStyle name="Comma [0] 3" xfId="8" xr:uid="{4600EDEB-2876-4C41-B132-21727989FA70}"/>
    <cellStyle name="Comma [0] 3 2 2" xfId="1" xr:uid="{41583BB0-B80E-4894-BC5F-5F6BA1D66050}"/>
    <cellStyle name="Comma 10" xfId="7" xr:uid="{1F8D5E82-B062-4880-808F-EE2A6DF42100}"/>
    <cellStyle name="Comma 2" xfId="3" xr:uid="{5256815C-A8D9-4EF6-A9E0-D6A18C3DC713}"/>
    <cellStyle name="Comma 34" xfId="5" xr:uid="{DDD19262-E267-47F3-BA9E-4DCAFC585A0B}"/>
    <cellStyle name="Comma 72" xfId="6" xr:uid="{E0479BA7-4C2E-4CC4-90DF-238FD7C7BB8D}"/>
    <cellStyle name="Currency 2" xfId="9" xr:uid="{149E4BC8-B705-4B0D-9552-BCF25D9BF074}"/>
    <cellStyle name="Hyperlink" xfId="10" xr:uid="{00000000-000B-0000-0000-000008000000}"/>
    <cellStyle name="Normal" xfId="0" builtinId="0"/>
    <cellStyle name="Normal 2" xfId="2" xr:uid="{4A16FE34-990D-43DD-99D3-4EF4D2FF5089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3" formatCode="_-* #,##0_-;\-* #,##0_-;_-* &quot;-&quot;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[$Rp-3809]* #,##0.00_-;\-[$Rp-3809]* #,##0.00_-;_-[$Rp-3809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sz val="11"/>
        <name val="Arial"/>
        <family val="2"/>
        <scheme val="none"/>
      </font>
      <numFmt numFmtId="167" formatCode="_-[$Rp-3809]* #,##0.00_-;\-[$Rp-3809]* #,##0.00_-;_-[$Rp-3809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sz val="11"/>
        <name val="Arial"/>
        <family val="2"/>
        <scheme val="none"/>
      </font>
      <numFmt numFmtId="167" formatCode="_-[$Rp-3809]* #,##0.00_-;\-[$Rp-3809]* #,##0.00_-;_-[$Rp-3809]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 Light"/>
        <scheme val="maj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sz val="11"/>
        <color rgb="FF9454C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</border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451FF4-5678-4214-9278-6A2F5DB1A4CF}" name="Table13" displayName="Table13" ref="A1:M745" totalsRowShown="0" headerRowDxfId="27" dataDxfId="26" tableBorderDxfId="25">
  <autoFilter ref="A1:M745" xr:uid="{A6F46E21-6A10-4BCD-ADB4-9A27F5BAE847}"/>
  <sortState xmlns:xlrd2="http://schemas.microsoft.com/office/spreadsheetml/2017/richdata2" ref="A2:M745">
    <sortCondition ref="M1:M745"/>
  </sortState>
  <tableColumns count="13">
    <tableColumn id="1" xr3:uid="{E62A5F03-E109-433E-B5B9-9B662FFFAEAE}" name="No" dataDxfId="24" totalsRowDxfId="23"/>
    <tableColumn id="14" xr3:uid="{AF2801B2-F2F2-4245-8ECF-A9F97B9794B1}" name="Group/ Non Group" dataDxfId="22" totalsRowDxfId="21"/>
    <tableColumn id="2" xr3:uid="{945B2492-4C0D-4A45-8021-EFB3D1B88041}" name="Nama Group/ Non Group" dataDxfId="20" totalsRowDxfId="19"/>
    <tableColumn id="11" xr3:uid="{1346C7EB-829E-4397-A156-E27B3DF22D8A}" name="City" dataDxfId="18"/>
    <tableColumn id="3" xr3:uid="{7FD2BE7A-BD57-4788-8985-DF9888E859B0}" name="Nama Hotel" dataDxfId="17" totalsRowDxfId="16"/>
    <tableColumn id="5" xr3:uid="{2FA24375-653C-4B4F-A224-15168DDE05FB}" name="Email" dataDxfId="15" totalsRowDxfId="14"/>
    <tableColumn id="6" xr3:uid="{203FD903-A8C6-4B83-9FCE-47C76754A5F0}" name="Publish Rate" dataDxfId="13" totalsRowDxfId="12"/>
    <tableColumn id="8" xr3:uid="{241FC926-C64D-4B86-BF15-143A9B98DD6B}" name="Offering Corporate Rate 2026" dataDxfId="11" totalsRowDxfId="10"/>
    <tableColumn id="12" xr3:uid="{AB9F2FB2-E35B-4593-8BDA-C22C957E2C08}" name="Nilai Selisih" dataDxfId="9" totalsRowDxfId="8">
      <calculatedColumnFormula>Table13[[#This Row],[Publish Rate]]-Table13[[#This Row],[Offering Corporate Rate 2026]]</calculatedColumnFormula>
    </tableColumn>
    <tableColumn id="10" xr3:uid="{25B758C0-C470-47A5-AABC-2CB5C865DCDD}" name="Result" dataDxfId="7" totalsRowDxfId="6">
      <calculatedColumnFormula>IF(#REF!&gt;100000,"Recommend","Revise")</calculatedColumnFormula>
    </tableColumn>
    <tableColumn id="4" xr3:uid="{A42C217F-D2C8-4D22-B323-EA275DCB3763}" name="Next Action" dataDxfId="5" totalsRowDxfId="4"/>
    <tableColumn id="9" xr3:uid="{6A34E10C-C15B-442F-A242-33C0DDBC9639}" name="Checking Remarks" dataDxfId="3" totalsRowDxfId="2"/>
    <tableColumn id="13" xr3:uid="{8D229CC5-6784-4006-A012-05835589759B}" name="Status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uzan.apriyanty@the-ascott.com" TargetMode="External"/><Relationship Id="rId299" Type="http://schemas.openxmlformats.org/officeDocument/2006/relationships/hyperlink" Target="mailto:Wisnu.NUSANTORO@accor.com" TargetMode="External"/><Relationship Id="rId21" Type="http://schemas.openxmlformats.org/officeDocument/2006/relationships/hyperlink" Target="mailto:fachry.hadi@alofthotels.com" TargetMode="External"/><Relationship Id="rId63" Type="http://schemas.openxmlformats.org/officeDocument/2006/relationships/hyperlink" Target="mailto:fourpoints.baliseminyak@fourpoints.com" TargetMode="External"/><Relationship Id="rId159" Type="http://schemas.openxmlformats.org/officeDocument/2006/relationships/hyperlink" Target="mailto:Edduan.Abyudin@the-ascott.com" TargetMode="External"/><Relationship Id="rId324" Type="http://schemas.openxmlformats.org/officeDocument/2006/relationships/hyperlink" Target="mailto:damar.pamungkas@raffles.com" TargetMode="External"/><Relationship Id="rId366" Type="http://schemas.openxmlformats.org/officeDocument/2006/relationships/hyperlink" Target="mailto:reservation@theanvayabali.com" TargetMode="External"/><Relationship Id="rId170" Type="http://schemas.openxmlformats.org/officeDocument/2006/relationships/hyperlink" Target="mailto:reni.nuraeni@the-ascott.com" TargetMode="External"/><Relationship Id="rId226" Type="http://schemas.openxmlformats.org/officeDocument/2006/relationships/hyperlink" Target="mailto:resvsima@swiss-belhotel.com" TargetMode="External"/><Relationship Id="rId433" Type="http://schemas.openxmlformats.org/officeDocument/2006/relationships/hyperlink" Target="mailto:depok@reservation.santika.com" TargetMode="External"/><Relationship Id="rId268" Type="http://schemas.openxmlformats.org/officeDocument/2006/relationships/hyperlink" Target="mailto:resvseku@swiss-belhotel.com" TargetMode="External"/><Relationship Id="rId475" Type="http://schemas.openxmlformats.org/officeDocument/2006/relationships/hyperlink" Target="mailto:sm@eastparchotel.com" TargetMode="External"/><Relationship Id="rId32" Type="http://schemas.openxmlformats.org/officeDocument/2006/relationships/hyperlink" Target="mailto:Catherine.Tascha@westin.com" TargetMode="External"/><Relationship Id="rId74" Type="http://schemas.openxmlformats.org/officeDocument/2006/relationships/hyperlink" Target="mailto:dian.budianto@luxurycollection.com" TargetMode="External"/><Relationship Id="rId128" Type="http://schemas.openxmlformats.org/officeDocument/2006/relationships/hyperlink" Target="mailto:ayuwidya.ningtyas@the-ascott.com" TargetMode="External"/><Relationship Id="rId335" Type="http://schemas.openxmlformats.org/officeDocument/2006/relationships/hyperlink" Target="mailto:dos@hotel-majapahit.com" TargetMode="External"/><Relationship Id="rId377" Type="http://schemas.openxmlformats.org/officeDocument/2006/relationships/hyperlink" Target="mailto:pratama@reservation.amarishotel.com" TargetMode="External"/><Relationship Id="rId5" Type="http://schemas.openxmlformats.org/officeDocument/2006/relationships/hyperlink" Target="mailto:agung.rizqi@aryaduta.com" TargetMode="External"/><Relationship Id="rId181" Type="http://schemas.openxmlformats.org/officeDocument/2006/relationships/hyperlink" Target="mailto:reservation@bwagungubud.com" TargetMode="External"/><Relationship Id="rId237" Type="http://schemas.openxmlformats.org/officeDocument/2006/relationships/hyperlink" Target="mailto:ressbb@swiss-belhotel.com" TargetMode="External"/><Relationship Id="rId402" Type="http://schemas.openxmlformats.org/officeDocument/2006/relationships/hyperlink" Target="mailto:tasikmalaya@reservation.santika.com" TargetMode="External"/><Relationship Id="rId279" Type="http://schemas.openxmlformats.org/officeDocument/2006/relationships/hyperlink" Target="mailto:dosm.darmawangsa@the101hotels.com" TargetMode="External"/><Relationship Id="rId444" Type="http://schemas.openxmlformats.org/officeDocument/2006/relationships/hyperlink" Target="mailto:kalimalang@reservation.amarishotel.com" TargetMode="External"/><Relationship Id="rId486" Type="http://schemas.openxmlformats.org/officeDocument/2006/relationships/hyperlink" Target="mailto:scosby@platinumhotelindonesia.com" TargetMode="External"/><Relationship Id="rId43" Type="http://schemas.openxmlformats.org/officeDocument/2006/relationships/hyperlink" Target="mailto:tineke.kimbal@marriotthotels.com" TargetMode="External"/><Relationship Id="rId139" Type="http://schemas.openxmlformats.org/officeDocument/2006/relationships/hyperlink" Target="mailto:sheryn.salsabillah@the-ascott.com" TargetMode="External"/><Relationship Id="rId290" Type="http://schemas.openxmlformats.org/officeDocument/2006/relationships/hyperlink" Target="mailto:reservation@pohotels.co.id" TargetMode="External"/><Relationship Id="rId304" Type="http://schemas.openxmlformats.org/officeDocument/2006/relationships/hyperlink" Target="mailto:ados@novotelsemarang.com" TargetMode="External"/><Relationship Id="rId346" Type="http://schemas.openxmlformats.org/officeDocument/2006/relationships/hyperlink" Target="mailto:dosm@novotellombok.com" TargetMode="External"/><Relationship Id="rId388" Type="http://schemas.openxmlformats.org/officeDocument/2006/relationships/hyperlink" Target="mailto:manado@amarishotel.com" TargetMode="External"/><Relationship Id="rId85" Type="http://schemas.openxmlformats.org/officeDocument/2006/relationships/hyperlink" Target="mailto:salesadmin_jog@gaiacosmo.com" TargetMode="External"/><Relationship Id="rId150" Type="http://schemas.openxmlformats.org/officeDocument/2006/relationships/hyperlink" Target="mailto:Ari.Ervanto@the-ascott.com" TargetMode="External"/><Relationship Id="rId192" Type="http://schemas.openxmlformats.org/officeDocument/2006/relationships/hyperlink" Target="mailto:resvsica@swiss-belhotel.com" TargetMode="External"/><Relationship Id="rId206" Type="http://schemas.openxmlformats.org/officeDocument/2006/relationships/hyperlink" Target="mailto:resvsbcr@swiss-belhotel.com" TargetMode="External"/><Relationship Id="rId413" Type="http://schemas.openxmlformats.org/officeDocument/2006/relationships/hyperlink" Target="mailto:bangka@reservation.santika.com" TargetMode="External"/><Relationship Id="rId248" Type="http://schemas.openxmlformats.org/officeDocument/2006/relationships/hyperlink" Target="mailto:reservationsbmk@swiss-belhotel.com" TargetMode="External"/><Relationship Id="rId455" Type="http://schemas.openxmlformats.org/officeDocument/2006/relationships/hyperlink" Target="mailto:senen@reservation.amarishotel.com" TargetMode="External"/><Relationship Id="rId12" Type="http://schemas.openxmlformats.org/officeDocument/2006/relationships/hyperlink" Target="mailto:trb.tnjtx.reservation@tribute-portfoliohotels.com" TargetMode="External"/><Relationship Id="rId108" Type="http://schemas.openxmlformats.org/officeDocument/2006/relationships/hyperlink" Target="mailto:reservation.hmlg@the-ascott.com" TargetMode="External"/><Relationship Id="rId315" Type="http://schemas.openxmlformats.org/officeDocument/2006/relationships/hyperlink" Target="mailto:lengga.yohanida@accor.com" TargetMode="External"/><Relationship Id="rId357" Type="http://schemas.openxmlformats.org/officeDocument/2006/relationships/hyperlink" Target="mailto:gresik@reservation.santika.com" TargetMode="External"/><Relationship Id="rId54" Type="http://schemas.openxmlformats.org/officeDocument/2006/relationships/hyperlink" Target="mailto:Rica.LucianapPutri@courtyard.com" TargetMode="External"/><Relationship Id="rId96" Type="http://schemas.openxmlformats.org/officeDocument/2006/relationships/hyperlink" Target="mailto:reservation.fjbb@the-ascott.com" TargetMode="External"/><Relationship Id="rId161" Type="http://schemas.openxmlformats.org/officeDocument/2006/relationships/hyperlink" Target="mailto:rahmat.hidayat@the-ascott.com" TargetMode="External"/><Relationship Id="rId217" Type="http://schemas.openxmlformats.org/officeDocument/2006/relationships/hyperlink" Target="mailto:resvseyo@swiss-belhotel.com" TargetMode="External"/><Relationship Id="rId399" Type="http://schemas.openxmlformats.org/officeDocument/2006/relationships/hyperlink" Target="mailto:bandung@reservation.santika.com" TargetMode="External"/><Relationship Id="rId259" Type="http://schemas.openxmlformats.org/officeDocument/2006/relationships/hyperlink" Target="mailto:sorong@swiss-belhotel.com" TargetMode="External"/><Relationship Id="rId424" Type="http://schemas.openxmlformats.org/officeDocument/2006/relationships/hyperlink" Target="mailto:palangkaraya@reservation.amarishotel.com" TargetMode="External"/><Relationship Id="rId466" Type="http://schemas.openxmlformats.org/officeDocument/2006/relationships/hyperlink" Target="mailto:Queenilla.Stephanik@Hilton.com" TargetMode="External"/><Relationship Id="rId23" Type="http://schemas.openxmlformats.org/officeDocument/2006/relationships/hyperlink" Target="mailto:edwin.saputra@fourpoints.com" TargetMode="External"/><Relationship Id="rId119" Type="http://schemas.openxmlformats.org/officeDocument/2006/relationships/hyperlink" Target="mailto:diana.puspitasari@the-ascott.com" TargetMode="External"/><Relationship Id="rId270" Type="http://schemas.openxmlformats.org/officeDocument/2006/relationships/hyperlink" Target="mailto:smsise@swiss-belhotel.com" TargetMode="External"/><Relationship Id="rId326" Type="http://schemas.openxmlformats.org/officeDocument/2006/relationships/hyperlink" Target="mailto:sales3@novotelsuites-yogyakarta-malioboro.com" TargetMode="External"/><Relationship Id="rId65" Type="http://schemas.openxmlformats.org/officeDocument/2006/relationships/hyperlink" Target="mailto:santy.kusuma@renaissancehotels.com" TargetMode="External"/><Relationship Id="rId130" Type="http://schemas.openxmlformats.org/officeDocument/2006/relationships/hyperlink" Target="mailto:winny.elviany@the-ascott.com" TargetMode="External"/><Relationship Id="rId368" Type="http://schemas.openxmlformats.org/officeDocument/2006/relationships/hyperlink" Target="mailto:info@thesamayabali.com" TargetMode="External"/><Relationship Id="rId172" Type="http://schemas.openxmlformats.org/officeDocument/2006/relationships/hyperlink" Target="mailto:abdul.rifai@the-ascott.com" TargetMode="External"/><Relationship Id="rId228" Type="http://schemas.openxmlformats.org/officeDocument/2006/relationships/hyperlink" Target="mailto:resvsbja@swiss-belhotel.com" TargetMode="External"/><Relationship Id="rId435" Type="http://schemas.openxmlformats.org/officeDocument/2006/relationships/hyperlink" Target="mailto:megamallbekasi@reservation.santika.com" TargetMode="External"/><Relationship Id="rId477" Type="http://schemas.openxmlformats.org/officeDocument/2006/relationships/hyperlink" Target="mailto:sm2@themanoharahotelyogyakarta.com" TargetMode="External"/><Relationship Id="rId281" Type="http://schemas.openxmlformats.org/officeDocument/2006/relationships/hyperlink" Target="mailto:dos.rajawali@the101hotels.com" TargetMode="External"/><Relationship Id="rId337" Type="http://schemas.openxmlformats.org/officeDocument/2006/relationships/hyperlink" Target="mailto:gadis.carmanita@accor.com" TargetMode="External"/><Relationship Id="rId34" Type="http://schemas.openxmlformats.org/officeDocument/2006/relationships/hyperlink" Target="mailto:iwan.wahyudin@fourpoints.com" TargetMode="External"/><Relationship Id="rId76" Type="http://schemas.openxmlformats.org/officeDocument/2006/relationships/hyperlink" Target="mailto:Prishilla.Febriyani@Hilton.com" TargetMode="External"/><Relationship Id="rId141" Type="http://schemas.openxmlformats.org/officeDocument/2006/relationships/hyperlink" Target="mailto:yessy.syafitri@the-ascott.com" TargetMode="External"/><Relationship Id="rId379" Type="http://schemas.openxmlformats.org/officeDocument/2006/relationships/hyperlink" Target="mailto:teukuumar@reservation.amarishotel.com" TargetMode="External"/><Relationship Id="rId7" Type="http://schemas.openxmlformats.org/officeDocument/2006/relationships/hyperlink" Target="mailto:Henny.Hutagalung@fourpoints.com" TargetMode="External"/><Relationship Id="rId183" Type="http://schemas.openxmlformats.org/officeDocument/2006/relationships/hyperlink" Target="mailto:reservation@bwcocopalu.com" TargetMode="External"/><Relationship Id="rId239" Type="http://schemas.openxmlformats.org/officeDocument/2006/relationships/hyperlink" Target="mailto:tarakan@swiss-belhotel.com" TargetMode="External"/><Relationship Id="rId390" Type="http://schemas.openxmlformats.org/officeDocument/2006/relationships/hyperlink" Target="mailto:pettarani@reservation.amarishotel.com" TargetMode="External"/><Relationship Id="rId404" Type="http://schemas.openxmlformats.org/officeDocument/2006/relationships/hyperlink" Target="mailto:cihampelas@reservation.amarishotel.com" TargetMode="External"/><Relationship Id="rId446" Type="http://schemas.openxmlformats.org/officeDocument/2006/relationships/hyperlink" Target="mailto:mampang@reservation.amarishotel.com" TargetMode="External"/><Relationship Id="rId250" Type="http://schemas.openxmlformats.org/officeDocument/2006/relationships/hyperlink" Target="mailto:resvsilu@swiss-belhotel.com" TargetMode="External"/><Relationship Id="rId292" Type="http://schemas.openxmlformats.org/officeDocument/2006/relationships/hyperlink" Target="mailto:sm@ibisstyles-jakarta-sunter.com" TargetMode="External"/><Relationship Id="rId306" Type="http://schemas.openxmlformats.org/officeDocument/2006/relationships/hyperlink" Target="mailto:HA222@Accor.com" TargetMode="External"/><Relationship Id="rId488" Type="http://schemas.openxmlformats.org/officeDocument/2006/relationships/hyperlink" Target="mailto:dian.permana@Panpacific.com" TargetMode="External"/><Relationship Id="rId45" Type="http://schemas.openxmlformats.org/officeDocument/2006/relationships/hyperlink" Target="mailto:wi.subwi.reservation@westin.com" TargetMode="External"/><Relationship Id="rId87" Type="http://schemas.openxmlformats.org/officeDocument/2006/relationships/hyperlink" Target="mailto:irvan.dzulfarhan@hoteltentrem.com" TargetMode="External"/><Relationship Id="rId110" Type="http://schemas.openxmlformats.org/officeDocument/2006/relationships/hyperlink" Target="mailto:reservation.csol@the-ascott.com" TargetMode="External"/><Relationship Id="rId348" Type="http://schemas.openxmlformats.org/officeDocument/2006/relationships/hyperlink" Target="mailto:sm1@novotel-bogor.com" TargetMode="External"/><Relationship Id="rId152" Type="http://schemas.openxmlformats.org/officeDocument/2006/relationships/hyperlink" Target="mailto:Ari.Ervanto@the-ascott.com" TargetMode="External"/><Relationship Id="rId194" Type="http://schemas.openxmlformats.org/officeDocument/2006/relationships/hyperlink" Target="mailto:resvsecd@swiss-belhotel.com" TargetMode="External"/><Relationship Id="rId208" Type="http://schemas.openxmlformats.org/officeDocument/2006/relationships/hyperlink" Target="mailto:bogor-scbo@swiss-belhotel.com" TargetMode="External"/><Relationship Id="rId415" Type="http://schemas.openxmlformats.org/officeDocument/2006/relationships/hyperlink" Target="mailto:bengkulu@reservation.santika.com" TargetMode="External"/><Relationship Id="rId457" Type="http://schemas.openxmlformats.org/officeDocument/2006/relationships/hyperlink" Target="mailto:slipi@reservation.amarishotel.com" TargetMode="External"/><Relationship Id="rId261" Type="http://schemas.openxmlformats.org/officeDocument/2006/relationships/hyperlink" Target="mailto:rsvsitm@swiss-belhotel.com" TargetMode="External"/><Relationship Id="rId14" Type="http://schemas.openxmlformats.org/officeDocument/2006/relationships/hyperlink" Target="mailto:yoses.sutianto@sheraton.com" TargetMode="External"/><Relationship Id="rId56" Type="http://schemas.openxmlformats.org/officeDocument/2006/relationships/hyperlink" Target="mailto:reservation.elementbali@elementhotels.com" TargetMode="External"/><Relationship Id="rId317" Type="http://schemas.openxmlformats.org/officeDocument/2006/relationships/hyperlink" Target="mailto:hc252@accor.com" TargetMode="External"/><Relationship Id="rId359" Type="http://schemas.openxmlformats.org/officeDocument/2006/relationships/hyperlink" Target="mailto:surabaya@reservation.kampihotels.com" TargetMode="External"/><Relationship Id="rId98" Type="http://schemas.openxmlformats.org/officeDocument/2006/relationships/hyperlink" Target="mailto:reservation.hrvb@the-ascott.com" TargetMode="External"/><Relationship Id="rId121" Type="http://schemas.openxmlformats.org/officeDocument/2006/relationships/hyperlink" Target="mailto:widi.yastuti@the-ascott.com" TargetMode="External"/><Relationship Id="rId163" Type="http://schemas.openxmlformats.org/officeDocument/2006/relationships/hyperlink" Target="mailto:gitta.ayu@oakwood.com" TargetMode="External"/><Relationship Id="rId219" Type="http://schemas.openxmlformats.org/officeDocument/2006/relationships/hyperlink" Target="mailto:resvsbsl@swiss-belhotel.com" TargetMode="External"/><Relationship Id="rId370" Type="http://schemas.openxmlformats.org/officeDocument/2006/relationships/hyperlink" Target="mailto:infoubud@thesamayabali.com" TargetMode="External"/><Relationship Id="rId426" Type="http://schemas.openxmlformats.org/officeDocument/2006/relationships/hyperlink" Target="mailto:bintaropremiere@reservation.santika.com" TargetMode="External"/><Relationship Id="rId230" Type="http://schemas.openxmlformats.org/officeDocument/2006/relationships/hyperlink" Target="mailto:resvsigm@swiss-belhotel.com" TargetMode="External"/><Relationship Id="rId468" Type="http://schemas.openxmlformats.org/officeDocument/2006/relationships/hyperlink" Target="mailto:Citha.Puspita@shangri-la.com" TargetMode="External"/><Relationship Id="rId25" Type="http://schemas.openxmlformats.org/officeDocument/2006/relationships/hyperlink" Target="mailto:jktmd.reservation@lemeridien.com" TargetMode="External"/><Relationship Id="rId67" Type="http://schemas.openxmlformats.org/officeDocument/2006/relationships/hyperlink" Target="mailto:desimariati.gunawan@marriott.com" TargetMode="External"/><Relationship Id="rId272" Type="http://schemas.openxmlformats.org/officeDocument/2006/relationships/hyperlink" Target="mailto:sm.balisanur@the101hotels.com" TargetMode="External"/><Relationship Id="rId328" Type="http://schemas.openxmlformats.org/officeDocument/2006/relationships/hyperlink" Target="mailto:dos@mercure-jakarta-sabang.com" TargetMode="External"/><Relationship Id="rId132" Type="http://schemas.openxmlformats.org/officeDocument/2006/relationships/hyperlink" Target="mailto:lela.simanjuntak@the-ascott.com" TargetMode="External"/><Relationship Id="rId174" Type="http://schemas.openxmlformats.org/officeDocument/2006/relationships/hyperlink" Target="mailto:reservation@bwsenayan.com" TargetMode="External"/><Relationship Id="rId381" Type="http://schemas.openxmlformats.org/officeDocument/2006/relationships/hyperlink" Target="mailto:ambonpremiere@reservation.santika.com" TargetMode="External"/><Relationship Id="rId241" Type="http://schemas.openxmlformats.org/officeDocument/2006/relationships/hyperlink" Target="mailto:resvlhsb@swiss-belhotel.com" TargetMode="External"/><Relationship Id="rId437" Type="http://schemas.openxmlformats.org/officeDocument/2006/relationships/hyperlink" Target="mailto:soetta@reservation.amarishotel.com" TargetMode="External"/><Relationship Id="rId479" Type="http://schemas.openxmlformats.org/officeDocument/2006/relationships/hyperlink" Target="mailto:santi.tiurma@frasershospitality.com" TargetMode="External"/><Relationship Id="rId36" Type="http://schemas.openxmlformats.org/officeDocument/2006/relationships/hyperlink" Target="mailto:virna.kiranjani@sheraton.com" TargetMode="External"/><Relationship Id="rId283" Type="http://schemas.openxmlformats.org/officeDocument/2006/relationships/hyperlink" Target="mailto:sm.lynn@101urbanhotels.com" TargetMode="External"/><Relationship Id="rId339" Type="http://schemas.openxmlformats.org/officeDocument/2006/relationships/hyperlink" Target="mailto:ados@novotel-makassar-grandshayla.com" TargetMode="External"/><Relationship Id="rId490" Type="http://schemas.openxmlformats.org/officeDocument/2006/relationships/hyperlink" Target="mailto:ringsing.w@thegaiabandung.com" TargetMode="External"/><Relationship Id="rId78" Type="http://schemas.openxmlformats.org/officeDocument/2006/relationships/hyperlink" Target="mailto:Albert.Sanata@Hilton.com" TargetMode="External"/><Relationship Id="rId101" Type="http://schemas.openxmlformats.org/officeDocument/2006/relationships/hyperlink" Target="mailto:wisnu.raya@the-ascott.com" TargetMode="External"/><Relationship Id="rId143" Type="http://schemas.openxmlformats.org/officeDocument/2006/relationships/hyperlink" Target="mailto:july.rayan@the-ascott.com" TargetMode="External"/><Relationship Id="rId185" Type="http://schemas.openxmlformats.org/officeDocument/2006/relationships/hyperlink" Target="mailto:reservation@bwsagitajayapura.com" TargetMode="External"/><Relationship Id="rId350" Type="http://schemas.openxmlformats.org/officeDocument/2006/relationships/hyperlink" Target="mailto:Richard.POSUMAH@accor.com" TargetMode="External"/><Relationship Id="rId406" Type="http://schemas.openxmlformats.org/officeDocument/2006/relationships/hyperlink" Target="mailto:setiabudi@reservation.amarishotel.com" TargetMode="External"/><Relationship Id="rId9" Type="http://schemas.openxmlformats.org/officeDocument/2006/relationships/hyperlink" Target="mailto:erwin.sudarma@marriotthotels.com" TargetMode="External"/><Relationship Id="rId210" Type="http://schemas.openxmlformats.org/officeDocument/2006/relationships/hyperlink" Target="mailto:bogor-zhbo@zesthotel.com" TargetMode="External"/><Relationship Id="rId392" Type="http://schemas.openxmlformats.org/officeDocument/2006/relationships/hyperlink" Target="mailto:semarangpremiere@reservation.santika.com" TargetMode="External"/><Relationship Id="rId448" Type="http://schemas.openxmlformats.org/officeDocument/2006/relationships/hyperlink" Target="mailto:pakuan@reservation.amarishotel.com" TargetMode="External"/><Relationship Id="rId252" Type="http://schemas.openxmlformats.org/officeDocument/2006/relationships/hyperlink" Target="mailto:makassar-scmk@swiss-belhotel.com" TargetMode="External"/><Relationship Id="rId294" Type="http://schemas.openxmlformats.org/officeDocument/2006/relationships/hyperlink" Target="mailto:melly.ROSA@movenpick.com" TargetMode="External"/><Relationship Id="rId308" Type="http://schemas.openxmlformats.org/officeDocument/2006/relationships/hyperlink" Target="mailto:Octavia.WIDHASARI@accor.com" TargetMode="External"/><Relationship Id="rId47" Type="http://schemas.openxmlformats.org/officeDocument/2006/relationships/hyperlink" Target="mailto:Muhammad.gusti@marriott.com" TargetMode="External"/><Relationship Id="rId89" Type="http://schemas.openxmlformats.org/officeDocument/2006/relationships/hyperlink" Target="mailto:Shara.Octavia@thetranshotel.com" TargetMode="External"/><Relationship Id="rId112" Type="http://schemas.openxmlformats.org/officeDocument/2006/relationships/hyperlink" Target="mailto:meiyani,trianawati@the-ascott.com" TargetMode="External"/><Relationship Id="rId154" Type="http://schemas.openxmlformats.org/officeDocument/2006/relationships/hyperlink" Target="mailto:revia.prajasari@the-ascott.com" TargetMode="External"/><Relationship Id="rId361" Type="http://schemas.openxmlformats.org/officeDocument/2006/relationships/hyperlink" Target="mailto:embongmalang@reservation.amarishotel.com" TargetMode="External"/><Relationship Id="rId196" Type="http://schemas.openxmlformats.org/officeDocument/2006/relationships/hyperlink" Target="mailto:rsvsisa@swiss-belhotel.com" TargetMode="External"/><Relationship Id="rId417" Type="http://schemas.openxmlformats.org/officeDocument/2006/relationships/hyperlink" Target="mailto:radialpalembang@reservation.santika.com" TargetMode="External"/><Relationship Id="rId459" Type="http://schemas.openxmlformats.org/officeDocument/2006/relationships/hyperlink" Target="mailto:tendean@reservation.amarishotel.com" TargetMode="External"/><Relationship Id="rId16" Type="http://schemas.openxmlformats.org/officeDocument/2006/relationships/hyperlink" Target="mailto:mhrs.tkgmc.reservations@marriott.com" TargetMode="External"/><Relationship Id="rId221" Type="http://schemas.openxmlformats.org/officeDocument/2006/relationships/hyperlink" Target="mailto:resvgbda@swiss-belhotel.com" TargetMode="External"/><Relationship Id="rId263" Type="http://schemas.openxmlformats.org/officeDocument/2006/relationships/hyperlink" Target="mailto:rsvsclo@swiss-belhotel.com" TargetMode="External"/><Relationship Id="rId319" Type="http://schemas.openxmlformats.org/officeDocument/2006/relationships/hyperlink" Target="mailto:se@mercure-karawang.com" TargetMode="External"/><Relationship Id="rId470" Type="http://schemas.openxmlformats.org/officeDocument/2006/relationships/hyperlink" Target="mailto:sales@aristapalembang.com" TargetMode="External"/><Relationship Id="rId58" Type="http://schemas.openxmlformats.org/officeDocument/2006/relationships/hyperlink" Target="mailto:zai.bakari@fairfieldinn.com" TargetMode="External"/><Relationship Id="rId123" Type="http://schemas.openxmlformats.org/officeDocument/2006/relationships/hyperlink" Target="mailto:dosm-slipijakarta@thekimayahotels.com" TargetMode="External"/><Relationship Id="rId330" Type="http://schemas.openxmlformats.org/officeDocument/2006/relationships/hyperlink" Target="mailto:chinda.febrina@accor.com" TargetMode="External"/><Relationship Id="rId165" Type="http://schemas.openxmlformats.org/officeDocument/2006/relationships/hyperlink" Target="mailto:wulan.rianty@the-ascott.com" TargetMode="External"/><Relationship Id="rId372" Type="http://schemas.openxmlformats.org/officeDocument/2006/relationships/hyperlink" Target="mailto:siligita@reservation.santika.com" TargetMode="External"/><Relationship Id="rId428" Type="http://schemas.openxmlformats.org/officeDocument/2006/relationships/hyperlink" Target="mailto:icebsd@reservation.santika.com" TargetMode="External"/><Relationship Id="rId232" Type="http://schemas.openxmlformats.org/officeDocument/2006/relationships/hyperlink" Target="mailto:fomsib@swiss-belhotel.com" TargetMode="External"/><Relationship Id="rId274" Type="http://schemas.openxmlformats.org/officeDocument/2006/relationships/hyperlink" Target="mailto:dos.balifontana@the101hotels.com" TargetMode="External"/><Relationship Id="rId481" Type="http://schemas.openxmlformats.org/officeDocument/2006/relationships/hyperlink" Target="mailto:Fandy.Ponti@padmahotels.com" TargetMode="External"/><Relationship Id="rId27" Type="http://schemas.openxmlformats.org/officeDocument/2006/relationships/hyperlink" Target="mailto:gomosericksandro.silo@sheraton.com" TargetMode="External"/><Relationship Id="rId69" Type="http://schemas.openxmlformats.org/officeDocument/2006/relationships/hyperlink" Target="mailto:Laguna.Reservation@luxurycollection.com" TargetMode="External"/><Relationship Id="rId134" Type="http://schemas.openxmlformats.org/officeDocument/2006/relationships/hyperlink" Target="mailto:diaz.arlinda@the-ascott.com" TargetMode="External"/><Relationship Id="rId80" Type="http://schemas.openxmlformats.org/officeDocument/2006/relationships/hyperlink" Target="mailto:ssm@ibisstyles-jakarta-tanahabang.com" TargetMode="External"/><Relationship Id="rId176" Type="http://schemas.openxmlformats.org/officeDocument/2006/relationships/hyperlink" Target="mailto:reservation@lagrandebandung.com" TargetMode="External"/><Relationship Id="rId341" Type="http://schemas.openxmlformats.org/officeDocument/2006/relationships/hyperlink" Target="mailto:sm5@mercure-jakarta-cikini.com" TargetMode="External"/><Relationship Id="rId383" Type="http://schemas.openxmlformats.org/officeDocument/2006/relationships/hyperlink" Target="mailto:luwuk@reservation.santika.com" TargetMode="External"/><Relationship Id="rId439" Type="http://schemas.openxmlformats.org/officeDocument/2006/relationships/hyperlink" Target="mailto:cilegon@reservation.amarishotel.com" TargetMode="External"/><Relationship Id="rId201" Type="http://schemas.openxmlformats.org/officeDocument/2006/relationships/hyperlink" Target="mailto:reservation@bwbatanggaring.com" TargetMode="External"/><Relationship Id="rId243" Type="http://schemas.openxmlformats.org/officeDocument/2006/relationships/hyperlink" Target="mailto:resvsbpa@swiss-belhotel.com" TargetMode="External"/><Relationship Id="rId285" Type="http://schemas.openxmlformats.org/officeDocument/2006/relationships/hyperlink" Target="mailto:sm.kelapagading@101urbanhotels.com" TargetMode="External"/><Relationship Id="rId450" Type="http://schemas.openxmlformats.org/officeDocument/2006/relationships/hyperlink" Target="mailto:polim@reservation.amarishotel.com" TargetMode="External"/><Relationship Id="rId38" Type="http://schemas.openxmlformats.org/officeDocument/2006/relationships/hyperlink" Target="mailto:Elisabeth.Pradipta@marriott.com" TargetMode="External"/><Relationship Id="rId103" Type="http://schemas.openxmlformats.org/officeDocument/2006/relationships/hyperlink" Target="mailto:reservation.pktb@the-ascott.com" TargetMode="External"/><Relationship Id="rId310" Type="http://schemas.openxmlformats.org/officeDocument/2006/relationships/hyperlink" Target="mailto:Hana.RENATA@accor.com" TargetMode="External"/><Relationship Id="rId492" Type="http://schemas.openxmlformats.org/officeDocument/2006/relationships/hyperlink" Target="mailto:Mustopa.Rivai@millenniumhotels.com" TargetMode="External"/><Relationship Id="rId91" Type="http://schemas.openxmlformats.org/officeDocument/2006/relationships/hyperlink" Target="mailto:Yessy.Syafitri@the-ascott.com" TargetMode="External"/><Relationship Id="rId145" Type="http://schemas.openxmlformats.org/officeDocument/2006/relationships/hyperlink" Target="mailto:vera.annisa@the-ascott.com" TargetMode="External"/><Relationship Id="rId187" Type="http://schemas.openxmlformats.org/officeDocument/2006/relationships/hyperlink" Target="mailto:resvhcc@swiss-belhotel.com" TargetMode="External"/><Relationship Id="rId352" Type="http://schemas.openxmlformats.org/officeDocument/2006/relationships/hyperlink" Target="mailto:agung.rizqi@aryaduta.com" TargetMode="External"/><Relationship Id="rId394" Type="http://schemas.openxmlformats.org/officeDocument/2006/relationships/hyperlink" Target="mailto:pajeksan@reservation.amarishotel.com" TargetMode="External"/><Relationship Id="rId408" Type="http://schemas.openxmlformats.org/officeDocument/2006/relationships/hyperlink" Target="mailto:belitungpremiere@reservation.santika.com" TargetMode="External"/><Relationship Id="rId212" Type="http://schemas.openxmlformats.org/officeDocument/2006/relationships/hyperlink" Target="mailto:reservation-zhba@zesthotel.com" TargetMode="External"/><Relationship Id="rId254" Type="http://schemas.openxmlformats.org/officeDocument/2006/relationships/hyperlink" Target="mailto:ressbam@swiss-belhotel.com" TargetMode="External"/><Relationship Id="rId49" Type="http://schemas.openxmlformats.org/officeDocument/2006/relationships/hyperlink" Target="mailto:reservation.makassar@fourpoints.com" TargetMode="External"/><Relationship Id="rId114" Type="http://schemas.openxmlformats.org/officeDocument/2006/relationships/hyperlink" Target="mailto:arga.wijaya@the-ascott.com" TargetMode="External"/><Relationship Id="rId296" Type="http://schemas.openxmlformats.org/officeDocument/2006/relationships/hyperlink" Target="mailto:Chandra.MAHAPUTRA@accor.com" TargetMode="External"/><Relationship Id="rId461" Type="http://schemas.openxmlformats.org/officeDocument/2006/relationships/hyperlink" Target="mailto:melati@moragroup.id" TargetMode="External"/><Relationship Id="rId60" Type="http://schemas.openxmlformats.org/officeDocument/2006/relationships/hyperlink" Target="mailto:ffi.dpssk.reservations@marriott.com" TargetMode="External"/><Relationship Id="rId156" Type="http://schemas.openxmlformats.org/officeDocument/2006/relationships/hyperlink" Target="mailto:nita.puspita@the-ascott.com" TargetMode="External"/><Relationship Id="rId198" Type="http://schemas.openxmlformats.org/officeDocument/2006/relationships/hyperlink" Target="mailto:resvsbsr@swiss-belhotel.com" TargetMode="External"/><Relationship Id="rId321" Type="http://schemas.openxmlformats.org/officeDocument/2006/relationships/hyperlink" Target="mailto:sm1@mercureconvention.com" TargetMode="External"/><Relationship Id="rId363" Type="http://schemas.openxmlformats.org/officeDocument/2006/relationships/hyperlink" Target="mailto:malang@reservation.amarishotel.com" TargetMode="External"/><Relationship Id="rId419" Type="http://schemas.openxmlformats.org/officeDocument/2006/relationships/hyperlink" Target="mailto:lampungcity@amarishotel.com" TargetMode="External"/><Relationship Id="rId223" Type="http://schemas.openxmlformats.org/officeDocument/2006/relationships/hyperlink" Target="mailto:resvsisu@swiss-belhotel.com" TargetMode="External"/><Relationship Id="rId430" Type="http://schemas.openxmlformats.org/officeDocument/2006/relationships/hyperlink" Target="mailto:slipipremiere@reservation.santika.com" TargetMode="External"/><Relationship Id="rId18" Type="http://schemas.openxmlformats.org/officeDocument/2006/relationships/hyperlink" Target="mailto:ffi.jktbf.reservations@marriott.com" TargetMode="External"/><Relationship Id="rId265" Type="http://schemas.openxmlformats.org/officeDocument/2006/relationships/hyperlink" Target="mailto:resvsrpe@swiss-belhotel.com" TargetMode="External"/><Relationship Id="rId472" Type="http://schemas.openxmlformats.org/officeDocument/2006/relationships/hyperlink" Target="mailto:namira.ummah@thetranshotel.com" TargetMode="External"/><Relationship Id="rId125" Type="http://schemas.openxmlformats.org/officeDocument/2006/relationships/hyperlink" Target="mailto:asm.ppbj@the-ascott.com" TargetMode="External"/><Relationship Id="rId167" Type="http://schemas.openxmlformats.org/officeDocument/2006/relationships/hyperlink" Target="mailto:ria.anggraeni@the-ascott.com" TargetMode="External"/><Relationship Id="rId332" Type="http://schemas.openxmlformats.org/officeDocument/2006/relationships/hyperlink" Target="mailto:dayu.sulitriasih@accor.com" TargetMode="External"/><Relationship Id="rId374" Type="http://schemas.openxmlformats.org/officeDocument/2006/relationships/hyperlink" Target="mailto:legianbali@reservation.kampihotels.com" TargetMode="External"/><Relationship Id="rId71" Type="http://schemas.openxmlformats.org/officeDocument/2006/relationships/hyperlink" Target="mailto:Baby.Soraya@westin.com" TargetMode="External"/><Relationship Id="rId234" Type="http://schemas.openxmlformats.org/officeDocument/2006/relationships/hyperlink" Target="mailto:pekanbaru-sipu@swiss-belhotel.com" TargetMode="External"/><Relationship Id="rId2" Type="http://schemas.openxmlformats.org/officeDocument/2006/relationships/hyperlink" Target="mailto:cluster-secsales.balikpapan@jatrahotels.com" TargetMode="External"/><Relationship Id="rId29" Type="http://schemas.openxmlformats.org/officeDocument/2006/relationships/hyperlink" Target="mailto:rc.jktrz.reservation@ritzcarlton.com" TargetMode="External"/><Relationship Id="rId276" Type="http://schemas.openxmlformats.org/officeDocument/2006/relationships/hyperlink" Target="mailto:dos.tugu@the101hotels.com" TargetMode="External"/><Relationship Id="rId441" Type="http://schemas.openxmlformats.org/officeDocument/2006/relationships/hyperlink" Target="mailto:grogol@reservation.amarishotel.com" TargetMode="External"/><Relationship Id="rId483" Type="http://schemas.openxmlformats.org/officeDocument/2006/relationships/hyperlink" Target="mailto:nandamahatma@veranda.co.id" TargetMode="External"/><Relationship Id="rId40" Type="http://schemas.openxmlformats.org/officeDocument/2006/relationships/hyperlink" Target="mailto:ffi.subfi.reservations@fairfieldinn.com" TargetMode="External"/><Relationship Id="rId136" Type="http://schemas.openxmlformats.org/officeDocument/2006/relationships/hyperlink" Target="mailto:hilda.priyatni@the-ascott.com" TargetMode="External"/><Relationship Id="rId178" Type="http://schemas.openxmlformats.org/officeDocument/2006/relationships/hyperlink" Target="mailto:reservation@alhambratasik.com" TargetMode="External"/><Relationship Id="rId301" Type="http://schemas.openxmlformats.org/officeDocument/2006/relationships/hyperlink" Target="mailto:yolanda.ARITONANG@accor.com" TargetMode="External"/><Relationship Id="rId343" Type="http://schemas.openxmlformats.org/officeDocument/2006/relationships/hyperlink" Target="mailto:ados@novotelsolo.com" TargetMode="External"/><Relationship Id="rId82" Type="http://schemas.openxmlformats.org/officeDocument/2006/relationships/hyperlink" Target="mailto:cluster.dossby@vasahotelsurabaya.com" TargetMode="External"/><Relationship Id="rId203" Type="http://schemas.openxmlformats.org/officeDocument/2006/relationships/hyperlink" Target="mailto:resvsicb@swiss-belhotel.com" TargetMode="External"/><Relationship Id="rId385" Type="http://schemas.openxmlformats.org/officeDocument/2006/relationships/hyperlink" Target="mailto:ambon@reservation.amarishotel.com" TargetMode="External"/><Relationship Id="rId245" Type="http://schemas.openxmlformats.org/officeDocument/2006/relationships/hyperlink" Target="mailto:reservationsbkn@swiss-belhotel.com" TargetMode="External"/><Relationship Id="rId287" Type="http://schemas.openxmlformats.org/officeDocument/2006/relationships/hyperlink" Target="mailto:sm.gilitrawangan@friihotels.com" TargetMode="External"/><Relationship Id="rId410" Type="http://schemas.openxmlformats.org/officeDocument/2006/relationships/hyperlink" Target="mailto:palembangpremiere@reservation.santika.com" TargetMode="External"/><Relationship Id="rId452" Type="http://schemas.openxmlformats.org/officeDocument/2006/relationships/hyperlink" Target="mailto:jakarta.pasarbaru@amarishotel.com" TargetMode="External"/><Relationship Id="rId494" Type="http://schemas.openxmlformats.org/officeDocument/2006/relationships/hyperlink" Target="mailto:admin2@ghuniversal.com" TargetMode="External"/><Relationship Id="rId105" Type="http://schemas.openxmlformats.org/officeDocument/2006/relationships/hyperlink" Target="mailto:Karla.maktan@the-ascott.com" TargetMode="External"/><Relationship Id="rId147" Type="http://schemas.openxmlformats.org/officeDocument/2006/relationships/hyperlink" Target="mailto:indriana.maharti@the-ascott.com" TargetMode="External"/><Relationship Id="rId312" Type="http://schemas.openxmlformats.org/officeDocument/2006/relationships/hyperlink" Target="mailto:sales1@novotelbalikpapan.com" TargetMode="External"/><Relationship Id="rId354" Type="http://schemas.openxmlformats.org/officeDocument/2006/relationships/hyperlink" Target="mailto:malangpremiere@reservation.santika.com" TargetMode="External"/><Relationship Id="rId51" Type="http://schemas.openxmlformats.org/officeDocument/2006/relationships/hyperlink" Target="mailto:reservation.aloftbaliseminyak@aloft.com" TargetMode="External"/><Relationship Id="rId93" Type="http://schemas.openxmlformats.org/officeDocument/2006/relationships/hyperlink" Target="mailto:melinda.wita@hoteltentrem.com" TargetMode="External"/><Relationship Id="rId189" Type="http://schemas.openxmlformats.org/officeDocument/2006/relationships/hyperlink" Target="mailto:resvsbpi@swiss-belhotel.com" TargetMode="External"/><Relationship Id="rId396" Type="http://schemas.openxmlformats.org/officeDocument/2006/relationships/hyperlink" Target="mailto:sriwedari@reservation.amarishotel.com" TargetMode="External"/><Relationship Id="rId214" Type="http://schemas.openxmlformats.org/officeDocument/2006/relationships/hyperlink" Target="mailto:rsv@hotelciputrasmg.com" TargetMode="External"/><Relationship Id="rId256" Type="http://schemas.openxmlformats.org/officeDocument/2006/relationships/hyperlink" Target="mailto:jayapura@swiss-belhotel.com" TargetMode="External"/><Relationship Id="rId298" Type="http://schemas.openxmlformats.org/officeDocument/2006/relationships/hyperlink" Target="mailto:sm1@ibisstyles-bogor-pajajaran.com" TargetMode="External"/><Relationship Id="rId421" Type="http://schemas.openxmlformats.org/officeDocument/2006/relationships/hyperlink" Target="mailto:padang@reservation.amarishotel.com" TargetMode="External"/><Relationship Id="rId463" Type="http://schemas.openxmlformats.org/officeDocument/2006/relationships/hyperlink" Target="mailto:intan.agustini@metropolitanland.com" TargetMode="External"/><Relationship Id="rId116" Type="http://schemas.openxmlformats.org/officeDocument/2006/relationships/hyperlink" Target="mailto:derry.h@the-ascott.com" TargetMode="External"/><Relationship Id="rId158" Type="http://schemas.openxmlformats.org/officeDocument/2006/relationships/hyperlink" Target="mailto:anwar.lodding@the-ascott.com" TargetMode="External"/><Relationship Id="rId323" Type="http://schemas.openxmlformats.org/officeDocument/2006/relationships/hyperlink" Target="mailto:reza.kusuma@25hours-hotels.com" TargetMode="External"/><Relationship Id="rId20" Type="http://schemas.openxmlformats.org/officeDocument/2006/relationships/hyperlink" Target="mailto:rizki.melia@aloft.com" TargetMode="External"/><Relationship Id="rId62" Type="http://schemas.openxmlformats.org/officeDocument/2006/relationships/hyperlink" Target="mailto:reservations.baliungasan@fourpoints.com" TargetMode="External"/><Relationship Id="rId365" Type="http://schemas.openxmlformats.org/officeDocument/2006/relationships/hyperlink" Target="mailto:ponorogo@reservation.amarishotel.com" TargetMode="External"/><Relationship Id="rId190" Type="http://schemas.openxmlformats.org/officeDocument/2006/relationships/hyperlink" Target="mailto:resvsakj@swiss-belhotel.com" TargetMode="External"/><Relationship Id="rId204" Type="http://schemas.openxmlformats.org/officeDocument/2006/relationships/hyperlink" Target="mailto:resvsici@swiss-belhotel.com" TargetMode="External"/><Relationship Id="rId225" Type="http://schemas.openxmlformats.org/officeDocument/2006/relationships/hyperlink" Target="mailto:reservation-zhjs@zesthotel.com" TargetMode="External"/><Relationship Id="rId246" Type="http://schemas.openxmlformats.org/officeDocument/2006/relationships/hyperlink" Target="mailto:manado@swiss-belhotel.com" TargetMode="External"/><Relationship Id="rId267" Type="http://schemas.openxmlformats.org/officeDocument/2006/relationships/hyperlink" Target="mailto:resvmanp@swiss-belhotel.com" TargetMode="External"/><Relationship Id="rId288" Type="http://schemas.openxmlformats.org/officeDocument/2006/relationships/hyperlink" Target="mailto:sm.echobeach@friihotels.com" TargetMode="External"/><Relationship Id="rId411" Type="http://schemas.openxmlformats.org/officeDocument/2006/relationships/hyperlink" Target="mailto:lampungpremiere@reservation.santika.com" TargetMode="External"/><Relationship Id="rId432" Type="http://schemas.openxmlformats.org/officeDocument/2006/relationships/hyperlink" Target="mailto:bsdcity@reservation.santika.com" TargetMode="External"/><Relationship Id="rId453" Type="http://schemas.openxmlformats.org/officeDocument/2006/relationships/hyperlink" Target="mailto:satrio@reservation.amarishotel.com" TargetMode="External"/><Relationship Id="rId474" Type="http://schemas.openxmlformats.org/officeDocument/2006/relationships/hyperlink" Target="mailto:asm2@bdg.theluxton.com" TargetMode="External"/><Relationship Id="rId106" Type="http://schemas.openxmlformats.org/officeDocument/2006/relationships/hyperlink" Target="mailto:frangky.abas@the-ascott.com" TargetMode="External"/><Relationship Id="rId127" Type="http://schemas.openxmlformats.org/officeDocument/2006/relationships/hyperlink" Target="mailto:tri.wiharjo@the-ascott.com" TargetMode="External"/><Relationship Id="rId313" Type="http://schemas.openxmlformats.org/officeDocument/2006/relationships/hyperlink" Target="mailto:dos@mercure-jakarta-kota.com" TargetMode="External"/><Relationship Id="rId495" Type="http://schemas.openxmlformats.org/officeDocument/2006/relationships/printerSettings" Target="../printerSettings/printerSettings1.bin"/><Relationship Id="rId10" Type="http://schemas.openxmlformats.org/officeDocument/2006/relationships/hyperlink" Target="mailto:fp.bthfp.reservations@fourpoints.com" TargetMode="External"/><Relationship Id="rId31" Type="http://schemas.openxmlformats.org/officeDocument/2006/relationships/hyperlink" Target="mailto:Ady.Prasetyo@stregis.com" TargetMode="External"/><Relationship Id="rId52" Type="http://schemas.openxmlformats.org/officeDocument/2006/relationships/hyperlink" Target="mailto:dosm@amarterravilla.com" TargetMode="External"/><Relationship Id="rId73" Type="http://schemas.openxmlformats.org/officeDocument/2006/relationships/hyperlink" Target="mailto:reservation.senggigi@marriott.com" TargetMode="External"/><Relationship Id="rId94" Type="http://schemas.openxmlformats.org/officeDocument/2006/relationships/hyperlink" Target="mailto:Darwin.Yulio@ihg.com" TargetMode="External"/><Relationship Id="rId148" Type="http://schemas.openxmlformats.org/officeDocument/2006/relationships/hyperlink" Target="mailto:reservations.residence-surabaya@oakwood.com" TargetMode="External"/><Relationship Id="rId169" Type="http://schemas.openxmlformats.org/officeDocument/2006/relationships/hyperlink" Target="mailto:cahyanti.widyasari@the-ascott.com" TargetMode="External"/><Relationship Id="rId334" Type="http://schemas.openxmlformats.org/officeDocument/2006/relationships/hyperlink" Target="mailto:fatimah.fatimah@accor.com" TargetMode="External"/><Relationship Id="rId355" Type="http://schemas.openxmlformats.org/officeDocument/2006/relationships/hyperlink" Target="mailto:banyuwangi@reservation.santika.com" TargetMode="External"/><Relationship Id="rId376" Type="http://schemas.openxmlformats.org/officeDocument/2006/relationships/hyperlink" Target="mailto:lebakbene@reservation.amarishotel.com" TargetMode="External"/><Relationship Id="rId397" Type="http://schemas.openxmlformats.org/officeDocument/2006/relationships/hyperlink" Target="mailto:linggarjatipremiere@reservation.santika.com" TargetMode="External"/><Relationship Id="rId4" Type="http://schemas.openxmlformats.org/officeDocument/2006/relationships/hyperlink" Target="mailto:Rizki.Melia@aloft.com" TargetMode="External"/><Relationship Id="rId180" Type="http://schemas.openxmlformats.org/officeDocument/2006/relationships/hyperlink" Target="mailto:reservation@bwkamalajimbaran.com" TargetMode="External"/><Relationship Id="rId215" Type="http://schemas.openxmlformats.org/officeDocument/2006/relationships/hyperlink" Target="mailto:resvsbyo@swiss-belhotel.com" TargetMode="External"/><Relationship Id="rId236" Type="http://schemas.openxmlformats.org/officeDocument/2006/relationships/hyperlink" Target="mailto:resvsrta@swiss-belhotel.com" TargetMode="External"/><Relationship Id="rId257" Type="http://schemas.openxmlformats.org/officeDocument/2006/relationships/hyperlink" Target="mailto:resvsbme@swiss-belhotel.com" TargetMode="External"/><Relationship Id="rId278" Type="http://schemas.openxmlformats.org/officeDocument/2006/relationships/hyperlink" Target="mailto:ados.suryakancana@the101hotels.com" TargetMode="External"/><Relationship Id="rId401" Type="http://schemas.openxmlformats.org/officeDocument/2006/relationships/hyperlink" Target="mailto:bandung.pasirkoja@reservation.santika.com" TargetMode="External"/><Relationship Id="rId422" Type="http://schemas.openxmlformats.org/officeDocument/2006/relationships/hyperlink" Target="mailto:palembang@reservation.amarishotel.com" TargetMode="External"/><Relationship Id="rId443" Type="http://schemas.openxmlformats.org/officeDocument/2006/relationships/hyperlink" Target="mailto:juanda@reservation.amarishotel.com" TargetMode="External"/><Relationship Id="rId464" Type="http://schemas.openxmlformats.org/officeDocument/2006/relationships/hyperlink" Target="mailto:jennifer.beatric@kempinski.com" TargetMode="External"/><Relationship Id="rId303" Type="http://schemas.openxmlformats.org/officeDocument/2006/relationships/hyperlink" Target="mailto:Triana.SURYATI@accor.com" TargetMode="External"/><Relationship Id="rId485" Type="http://schemas.openxmlformats.org/officeDocument/2006/relationships/hyperlink" Target="mailto:dosm@blueskybalikpapan.com" TargetMode="External"/><Relationship Id="rId42" Type="http://schemas.openxmlformats.org/officeDocument/2006/relationships/hyperlink" Target="mailto:fourpoints.surabaya@fourpoints.com" TargetMode="External"/><Relationship Id="rId84" Type="http://schemas.openxmlformats.org/officeDocument/2006/relationships/hyperlink" Target="mailto:asm@crb.theluxton.com" TargetMode="External"/><Relationship Id="rId138" Type="http://schemas.openxmlformats.org/officeDocument/2006/relationships/hyperlink" Target="mailto:sheryn.salsabillah@the-ascott.com" TargetMode="External"/><Relationship Id="rId345" Type="http://schemas.openxmlformats.org/officeDocument/2006/relationships/hyperlink" Target="mailto:ados@novotelsolo.com" TargetMode="External"/><Relationship Id="rId387" Type="http://schemas.openxmlformats.org/officeDocument/2006/relationships/hyperlink" Target="mailto:makassar@reservation.santika.com" TargetMode="External"/><Relationship Id="rId191" Type="http://schemas.openxmlformats.org/officeDocument/2006/relationships/hyperlink" Target="mailto:resvsare@swiss-belhotel.com" TargetMode="External"/><Relationship Id="rId205" Type="http://schemas.openxmlformats.org/officeDocument/2006/relationships/hyperlink" Target="mailto:reservationsika@swiss-belhotel.com" TargetMode="External"/><Relationship Id="rId247" Type="http://schemas.openxmlformats.org/officeDocument/2006/relationships/hyperlink" Target="mailto:reservation@thesentramanado.com" TargetMode="External"/><Relationship Id="rId412" Type="http://schemas.openxmlformats.org/officeDocument/2006/relationships/hyperlink" Target="mailto:padangpremiere@reservation.santika.com" TargetMode="External"/><Relationship Id="rId107" Type="http://schemas.openxmlformats.org/officeDocument/2006/relationships/hyperlink" Target="mailto:reception.fhhcb@the-ascott.com" TargetMode="External"/><Relationship Id="rId289" Type="http://schemas.openxmlformats.org/officeDocument/2006/relationships/hyperlink" Target="mailto:febi.felian@truntumhotels.com" TargetMode="External"/><Relationship Id="rId454" Type="http://schemas.openxmlformats.org/officeDocument/2006/relationships/hyperlink" Target="mailto:seasoncity@reservation.amarishotel.com" TargetMode="External"/><Relationship Id="rId496" Type="http://schemas.openxmlformats.org/officeDocument/2006/relationships/table" Target="../tables/table1.xml"/><Relationship Id="rId11" Type="http://schemas.openxmlformats.org/officeDocument/2006/relationships/hyperlink" Target="mailto:mhrs.tnjfp.reservation@fourpoints.com" TargetMode="External"/><Relationship Id="rId53" Type="http://schemas.openxmlformats.org/officeDocument/2006/relationships/hyperlink" Target="mailto:ari.asfaro@autographhotels.com" TargetMode="External"/><Relationship Id="rId149" Type="http://schemas.openxmlformats.org/officeDocument/2006/relationships/hyperlink" Target="mailto:Emmy.Dyah@the-ascott.com" TargetMode="External"/><Relationship Id="rId314" Type="http://schemas.openxmlformats.org/officeDocument/2006/relationships/hyperlink" Target="mailto:lengga.yohanida@accor.com" TargetMode="External"/><Relationship Id="rId356" Type="http://schemas.openxmlformats.org/officeDocument/2006/relationships/hyperlink" Target="mailto:blitar@reservation.santika.com" TargetMode="External"/><Relationship Id="rId398" Type="http://schemas.openxmlformats.org/officeDocument/2006/relationships/hyperlink" Target="mailto:garut@reservation.santika.com" TargetMode="External"/><Relationship Id="rId95" Type="http://schemas.openxmlformats.org/officeDocument/2006/relationships/hyperlink" Target="mailto:berty.putri@the-ascott.com" TargetMode="External"/><Relationship Id="rId160" Type="http://schemas.openxmlformats.org/officeDocument/2006/relationships/hyperlink" Target="mailto:Arie.Pranatha@the-ascott.com" TargetMode="External"/><Relationship Id="rId216" Type="http://schemas.openxmlformats.org/officeDocument/2006/relationships/hyperlink" Target="mailto:resvsqyo@swiss-belhotel.com" TargetMode="External"/><Relationship Id="rId423" Type="http://schemas.openxmlformats.org/officeDocument/2006/relationships/hyperlink" Target="mailto:pekanbaru@reservation.amarishotel.com" TargetMode="External"/><Relationship Id="rId258" Type="http://schemas.openxmlformats.org/officeDocument/2006/relationships/hyperlink" Target="mailto:biak@swiss-belhotel.com" TargetMode="External"/><Relationship Id="rId465" Type="http://schemas.openxmlformats.org/officeDocument/2006/relationships/hyperlink" Target="mailto:sm1@elhotelgroup.com" TargetMode="External"/><Relationship Id="rId22" Type="http://schemas.openxmlformats.org/officeDocument/2006/relationships/hyperlink" Target="mailto:info.jktas@aloft.com" TargetMode="External"/><Relationship Id="rId64" Type="http://schemas.openxmlformats.org/officeDocument/2006/relationships/hyperlink" Target="mailto:anastasia.ketaren@lemeridien.com" TargetMode="External"/><Relationship Id="rId118" Type="http://schemas.openxmlformats.org/officeDocument/2006/relationships/hyperlink" Target="mailto:Nakula.mahesa@the-ascott.com" TargetMode="External"/><Relationship Id="rId325" Type="http://schemas.openxmlformats.org/officeDocument/2006/relationships/hyperlink" Target="mailto:dos@novotelpalembang.com" TargetMode="External"/><Relationship Id="rId367" Type="http://schemas.openxmlformats.org/officeDocument/2006/relationships/hyperlink" Target="mailto:lombok@reseervation.thekayana.com" TargetMode="External"/><Relationship Id="rId171" Type="http://schemas.openxmlformats.org/officeDocument/2006/relationships/hyperlink" Target="mailto:reni.nuraeni@the-ascott.com" TargetMode="External"/><Relationship Id="rId227" Type="http://schemas.openxmlformats.org/officeDocument/2006/relationships/hyperlink" Target="mailto:resvsbla@swiss-belhotel.com" TargetMode="External"/><Relationship Id="rId269" Type="http://schemas.openxmlformats.org/officeDocument/2006/relationships/hyperlink" Target="mailto:smsise@swiss-belhotel.com" TargetMode="External"/><Relationship Id="rId434" Type="http://schemas.openxmlformats.org/officeDocument/2006/relationships/hyperlink" Target="mailto:kelapagading@reservation.santika.com" TargetMode="External"/><Relationship Id="rId476" Type="http://schemas.openxmlformats.org/officeDocument/2006/relationships/hyperlink" Target="mailto:ira@artotellegunamagelang.com" TargetMode="External"/><Relationship Id="rId33" Type="http://schemas.openxmlformats.org/officeDocument/2006/relationships/hyperlink" Target="mailto:ayu.lestarilosana@courtyard.com" TargetMode="External"/><Relationship Id="rId129" Type="http://schemas.openxmlformats.org/officeDocument/2006/relationships/hyperlink" Target="mailto:Agustina.Herliyanti@the-ascott.com" TargetMode="External"/><Relationship Id="rId280" Type="http://schemas.openxmlformats.org/officeDocument/2006/relationships/hyperlink" Target="mailto:dosm.airportcbc@the101hotels.com" TargetMode="External"/><Relationship Id="rId336" Type="http://schemas.openxmlformats.org/officeDocument/2006/relationships/hyperlink" Target="mailto:zefri.apriyanto@accor.com" TargetMode="External"/><Relationship Id="rId75" Type="http://schemas.openxmlformats.org/officeDocument/2006/relationships/hyperlink" Target="mailto:thesira.reservation@luxurycollection.com" TargetMode="External"/><Relationship Id="rId140" Type="http://schemas.openxmlformats.org/officeDocument/2006/relationships/hyperlink" Target="mailto:muhamad.ihsan@oakwood.com" TargetMode="External"/><Relationship Id="rId182" Type="http://schemas.openxmlformats.org/officeDocument/2006/relationships/hyperlink" Target="mailto:reservation@bwmakassarbeach.com" TargetMode="External"/><Relationship Id="rId378" Type="http://schemas.openxmlformats.org/officeDocument/2006/relationships/hyperlink" Target="mailto:sunsetroad@reservation.amarishotel.com" TargetMode="External"/><Relationship Id="rId403" Type="http://schemas.openxmlformats.org/officeDocument/2006/relationships/hyperlink" Target="mailto:cimanuk@reservation.amarishotel.com" TargetMode="External"/><Relationship Id="rId6" Type="http://schemas.openxmlformats.org/officeDocument/2006/relationships/hyperlink" Target="mailto:theorientjakarta.adsm@royalhideaway.com" TargetMode="External"/><Relationship Id="rId238" Type="http://schemas.openxmlformats.org/officeDocument/2006/relationships/hyperlink" Target="mailto:resvsbbs@swiss-belhotel.com" TargetMode="External"/><Relationship Id="rId445" Type="http://schemas.openxmlformats.org/officeDocument/2006/relationships/hyperlink" Target="mailto:kemang@reservation.amarishotel.com" TargetMode="External"/><Relationship Id="rId487" Type="http://schemas.openxmlformats.org/officeDocument/2006/relationships/hyperlink" Target="mailto:Poetrie.Oktaviana@marriott.com" TargetMode="External"/><Relationship Id="rId291" Type="http://schemas.openxmlformats.org/officeDocument/2006/relationships/hyperlink" Target="mailto:amanda.anindita@fourseasons.com" TargetMode="External"/><Relationship Id="rId305" Type="http://schemas.openxmlformats.org/officeDocument/2006/relationships/hyperlink" Target="mailto:salesmarketing@mercureserpongalamsutera.com" TargetMode="External"/><Relationship Id="rId347" Type="http://schemas.openxmlformats.org/officeDocument/2006/relationships/hyperlink" Target="mailto:deta.aprilia@accor.com" TargetMode="External"/><Relationship Id="rId44" Type="http://schemas.openxmlformats.org/officeDocument/2006/relationships/hyperlink" Target="mailto:sales.00164@sheraton.com" TargetMode="External"/><Relationship Id="rId86" Type="http://schemas.openxmlformats.org/officeDocument/2006/relationships/hyperlink" Target="mailto:dzaky.ramzy@langhamhotels.com" TargetMode="External"/><Relationship Id="rId151" Type="http://schemas.openxmlformats.org/officeDocument/2006/relationships/hyperlink" Target="mailto:elta.silitonga@the-ascott.com" TargetMode="External"/><Relationship Id="rId389" Type="http://schemas.openxmlformats.org/officeDocument/2006/relationships/hyperlink" Target="mailto:panakkukang@reservation.amarishotel.com" TargetMode="External"/><Relationship Id="rId193" Type="http://schemas.openxmlformats.org/officeDocument/2006/relationships/hyperlink" Target="mailto:rsvsiwh@swiss-belhotel.com" TargetMode="External"/><Relationship Id="rId207" Type="http://schemas.openxmlformats.org/officeDocument/2006/relationships/hyperlink" Target="mailto:reservationsbbo@swiss-belhotel.com" TargetMode="External"/><Relationship Id="rId249" Type="http://schemas.openxmlformats.org/officeDocument/2006/relationships/hyperlink" Target="mailto:resvsimk@swiss-belhotel.com" TargetMode="External"/><Relationship Id="rId414" Type="http://schemas.openxmlformats.org/officeDocument/2006/relationships/hyperlink" Target="mailto:batam@reservation.santika.com" TargetMode="External"/><Relationship Id="rId456" Type="http://schemas.openxmlformats.org/officeDocument/2006/relationships/hyperlink" Target="mailto:serpong@reservation.amarishotel.com" TargetMode="External"/><Relationship Id="rId13" Type="http://schemas.openxmlformats.org/officeDocument/2006/relationships/hyperlink" Target="mailto:fredrick.leonardi@fairfieldinn.com" TargetMode="External"/><Relationship Id="rId109" Type="http://schemas.openxmlformats.org/officeDocument/2006/relationships/hyperlink" Target="mailto:mohamad.silvian@the-ascott.com" TargetMode="External"/><Relationship Id="rId260" Type="http://schemas.openxmlformats.org/officeDocument/2006/relationships/hyperlink" Target="mailto:reservation@simasumba.com" TargetMode="External"/><Relationship Id="rId316" Type="http://schemas.openxmlformats.org/officeDocument/2006/relationships/hyperlink" Target="mailto:made.SUBAGA@ACCOR.COM" TargetMode="External"/><Relationship Id="rId55" Type="http://schemas.openxmlformats.org/officeDocument/2006/relationships/hyperlink" Target="mailto:jovanka.kaboel@courtyard.com" TargetMode="External"/><Relationship Id="rId97" Type="http://schemas.openxmlformats.org/officeDocument/2006/relationships/hyperlink" Target="mailto:kadek.noviantari@the-ascott.com" TargetMode="External"/><Relationship Id="rId120" Type="http://schemas.openxmlformats.org/officeDocument/2006/relationships/hyperlink" Target="mailto:sales.psaj@the-ascott.com" TargetMode="External"/><Relationship Id="rId358" Type="http://schemas.openxmlformats.org/officeDocument/2006/relationships/hyperlink" Target="mailto:pandegiling@reservation.santika.com" TargetMode="External"/><Relationship Id="rId162" Type="http://schemas.openxmlformats.org/officeDocument/2006/relationships/hyperlink" Target="mailto:oki.pratama@the-ascott.com" TargetMode="External"/><Relationship Id="rId218" Type="http://schemas.openxmlformats.org/officeDocument/2006/relationships/hyperlink" Target="mailto:solo-zhps@zesthotel.com" TargetMode="External"/><Relationship Id="rId425" Type="http://schemas.openxmlformats.org/officeDocument/2006/relationships/hyperlink" Target="mailto:samarinda@reservation.amarishotel.com" TargetMode="External"/><Relationship Id="rId467" Type="http://schemas.openxmlformats.org/officeDocument/2006/relationships/hyperlink" Target="mailto:Queenilla.Stephanik@Hilton.com" TargetMode="External"/><Relationship Id="rId271" Type="http://schemas.openxmlformats.org/officeDocument/2006/relationships/hyperlink" Target="mailto:smsise@swiss-belhotel.com" TargetMode="External"/><Relationship Id="rId24" Type="http://schemas.openxmlformats.org/officeDocument/2006/relationships/hyperlink" Target="mailto:mhrs.jktjw.res@marriott.com" TargetMode="External"/><Relationship Id="rId66" Type="http://schemas.openxmlformats.org/officeDocument/2006/relationships/hyperlink" Target="mailto:Diah.chandra@renaissancehotels.com" TargetMode="External"/><Relationship Id="rId131" Type="http://schemas.openxmlformats.org/officeDocument/2006/relationships/hyperlink" Target="mailto:adeline.tania@the-ascott.com" TargetMode="External"/><Relationship Id="rId327" Type="http://schemas.openxmlformats.org/officeDocument/2006/relationships/hyperlink" Target="mailto:jso@pullmanbalilegianbeach.com" TargetMode="External"/><Relationship Id="rId369" Type="http://schemas.openxmlformats.org/officeDocument/2006/relationships/hyperlink" Target="mailto:lombok@reseervation.thekayana.com" TargetMode="External"/><Relationship Id="rId173" Type="http://schemas.openxmlformats.org/officeDocument/2006/relationships/hyperlink" Target="mailto:reservation@bwmanggadua.com" TargetMode="External"/><Relationship Id="rId229" Type="http://schemas.openxmlformats.org/officeDocument/2006/relationships/hyperlink" Target="mailto:resvsimd@swiss-belhotel.com" TargetMode="External"/><Relationship Id="rId380" Type="http://schemas.openxmlformats.org/officeDocument/2006/relationships/hyperlink" Target="mailto:kupang@reservation.amarishotel.com" TargetMode="External"/><Relationship Id="rId436" Type="http://schemas.openxmlformats.org/officeDocument/2006/relationships/hyperlink" Target="mailto:jakartasunter@reservation.kampihotels.com" TargetMode="External"/><Relationship Id="rId240" Type="http://schemas.openxmlformats.org/officeDocument/2006/relationships/hyperlink" Target="mailto:resvsbbk@swiss-belhotel.com" TargetMode="External"/><Relationship Id="rId478" Type="http://schemas.openxmlformats.org/officeDocument/2006/relationships/hyperlink" Target="mailto:sa@banjarmasin.fugohotels.com" TargetMode="External"/><Relationship Id="rId35" Type="http://schemas.openxmlformats.org/officeDocument/2006/relationships/hyperlink" Target="mailto:moxy.bdoox.reservations@moxyhotels.com" TargetMode="External"/><Relationship Id="rId77" Type="http://schemas.openxmlformats.org/officeDocument/2006/relationships/hyperlink" Target="mailto:dionisius.dennis@shangri-la.com" TargetMode="External"/><Relationship Id="rId100" Type="http://schemas.openxmlformats.org/officeDocument/2006/relationships/hyperlink" Target="mailto:info.htbn@the-ascott.com" TargetMode="External"/><Relationship Id="rId282" Type="http://schemas.openxmlformats.org/officeDocument/2006/relationships/hyperlink" Target="mailto:dosm.malioboro@101stylehotels.com" TargetMode="External"/><Relationship Id="rId338" Type="http://schemas.openxmlformats.org/officeDocument/2006/relationships/hyperlink" Target="mailto:dosm@novoteltangerang.com" TargetMode="External"/><Relationship Id="rId8" Type="http://schemas.openxmlformats.org/officeDocument/2006/relationships/hyperlink" Target="mailto:mhrs.mesmc.res@marriotthotels.com" TargetMode="External"/><Relationship Id="rId142" Type="http://schemas.openxmlformats.org/officeDocument/2006/relationships/hyperlink" Target="mailto:tomy.sibarani@the-ascott.com" TargetMode="External"/><Relationship Id="rId184" Type="http://schemas.openxmlformats.org/officeDocument/2006/relationships/hyperlink" Target="mailto:reservation@bwlagoonmanado.com" TargetMode="External"/><Relationship Id="rId391" Type="http://schemas.openxmlformats.org/officeDocument/2006/relationships/hyperlink" Target="mailto:jogjapremiere@reservation.santika.com" TargetMode="External"/><Relationship Id="rId405" Type="http://schemas.openxmlformats.org/officeDocument/2006/relationships/hyperlink" Target="mailto:cirebon@reservation.amarishotel.com" TargetMode="External"/><Relationship Id="rId447" Type="http://schemas.openxmlformats.org/officeDocument/2006/relationships/hyperlink" Target="mailto:manggabesar@reservation.amarishotel.com" TargetMode="External"/><Relationship Id="rId251" Type="http://schemas.openxmlformats.org/officeDocument/2006/relationships/hyperlink" Target="mailto:palu@swiss-belhotel.com" TargetMode="External"/><Relationship Id="rId489" Type="http://schemas.openxmlformats.org/officeDocument/2006/relationships/hyperlink" Target="mailto:moulin@topotels.com" TargetMode="External"/><Relationship Id="rId46" Type="http://schemas.openxmlformats.org/officeDocument/2006/relationships/hyperlink" Target="mailto:fp.bpnfp.reservations@fourpointshotels.com" TargetMode="External"/><Relationship Id="rId293" Type="http://schemas.openxmlformats.org/officeDocument/2006/relationships/hyperlink" Target="mailto:dos@mercure-jakarta-gatotsubroto.com" TargetMode="External"/><Relationship Id="rId307" Type="http://schemas.openxmlformats.org/officeDocument/2006/relationships/hyperlink" Target="mailto:yanti.lim@swissotel.com" TargetMode="External"/><Relationship Id="rId349" Type="http://schemas.openxmlformats.org/officeDocument/2006/relationships/hyperlink" Target="mailto:sm1@novotel-bogor.com" TargetMode="External"/><Relationship Id="rId88" Type="http://schemas.openxmlformats.org/officeDocument/2006/relationships/hyperlink" Target="mailto:ratu.fania@thetranshotel.com" TargetMode="External"/><Relationship Id="rId111" Type="http://schemas.openxmlformats.org/officeDocument/2006/relationships/hyperlink" Target="mailto:reservation.msrm@the-ascott.com" TargetMode="External"/><Relationship Id="rId153" Type="http://schemas.openxmlformats.org/officeDocument/2006/relationships/hyperlink" Target="mailto:Aprianti.zariyani@the-ascott.com" TargetMode="External"/><Relationship Id="rId195" Type="http://schemas.openxmlformats.org/officeDocument/2006/relationships/hyperlink" Target="mailto:revsike@swiss-belhotel.com" TargetMode="External"/><Relationship Id="rId209" Type="http://schemas.openxmlformats.org/officeDocument/2006/relationships/hyperlink" Target="mailto:bogor-sibo@swiss-belhotel.com" TargetMode="External"/><Relationship Id="rId360" Type="http://schemas.openxmlformats.org/officeDocument/2006/relationships/hyperlink" Target="mailto:bintoro@reservation.amarishotel.com" TargetMode="External"/><Relationship Id="rId416" Type="http://schemas.openxmlformats.org/officeDocument/2006/relationships/hyperlink" Target="mailto:bukittinggi@reservation.santika.com" TargetMode="External"/><Relationship Id="rId220" Type="http://schemas.openxmlformats.org/officeDocument/2006/relationships/hyperlink" Target="mailto:rsvcws@swiss-belhotel.com" TargetMode="External"/><Relationship Id="rId458" Type="http://schemas.openxmlformats.org/officeDocument/2006/relationships/hyperlink" Target="mailto:tebet@reservation.amarishotel.com" TargetMode="External"/><Relationship Id="rId15" Type="http://schemas.openxmlformats.org/officeDocument/2006/relationships/hyperlink" Target="mailto:mhrs.tkgmc.reservations@marriott.com" TargetMode="External"/><Relationship Id="rId57" Type="http://schemas.openxmlformats.org/officeDocument/2006/relationships/hyperlink" Target="mailto:putri.rebecca@fairfieldinn.com" TargetMode="External"/><Relationship Id="rId262" Type="http://schemas.openxmlformats.org/officeDocument/2006/relationships/hyperlink" Target="mailto:resvseja@swiss-belhotel.com" TargetMode="External"/><Relationship Id="rId318" Type="http://schemas.openxmlformats.org/officeDocument/2006/relationships/hyperlink" Target="mailto:sm5@tribe-bali-kutabeach.com" TargetMode="External"/><Relationship Id="rId99" Type="http://schemas.openxmlformats.org/officeDocument/2006/relationships/hyperlink" Target="mailto:pricillia.andriani@the-ascott.com" TargetMode="External"/><Relationship Id="rId122" Type="http://schemas.openxmlformats.org/officeDocument/2006/relationships/hyperlink" Target="mailto:intan.dewi@the-ascott.com" TargetMode="External"/><Relationship Id="rId164" Type="http://schemas.openxmlformats.org/officeDocument/2006/relationships/hyperlink" Target="mailto:rahmat.hidayat@the-ascott.com" TargetMode="External"/><Relationship Id="rId371" Type="http://schemas.openxmlformats.org/officeDocument/2006/relationships/hyperlink" Target="mailto:kuta@reservation.santika.com" TargetMode="External"/><Relationship Id="rId427" Type="http://schemas.openxmlformats.org/officeDocument/2006/relationships/hyperlink" Target="mailto:hayamwuruk@reservation.santika.com" TargetMode="External"/><Relationship Id="rId469" Type="http://schemas.openxmlformats.org/officeDocument/2006/relationships/hyperlink" Target="mailto:michael.wijaya@hyatt.com" TargetMode="External"/><Relationship Id="rId26" Type="http://schemas.openxmlformats.org/officeDocument/2006/relationships/hyperlink" Target="mailto:Farida.ariyani@saripacificjakarta.com" TargetMode="External"/><Relationship Id="rId231" Type="http://schemas.openxmlformats.org/officeDocument/2006/relationships/hyperlink" Target="mailto:resvbatam@swiss-belhotel.com" TargetMode="External"/><Relationship Id="rId273" Type="http://schemas.openxmlformats.org/officeDocument/2006/relationships/hyperlink" Target="mailto:sales.seminyak@thehavenhotels.com" TargetMode="External"/><Relationship Id="rId329" Type="http://schemas.openxmlformats.org/officeDocument/2006/relationships/hyperlink" Target="mailto:sl1@pullman-ciawi-vimalahills.com" TargetMode="External"/><Relationship Id="rId480" Type="http://schemas.openxmlformats.org/officeDocument/2006/relationships/hyperlink" Target="mailto:Fandy.Ponti@padmahotels.com" TargetMode="External"/><Relationship Id="rId68" Type="http://schemas.openxmlformats.org/officeDocument/2006/relationships/hyperlink" Target="mailto:resv.sthala@tributeportfolio.com" TargetMode="External"/><Relationship Id="rId133" Type="http://schemas.openxmlformats.org/officeDocument/2006/relationships/hyperlink" Target="mailto:lela.simanjuntak@the-ascott.com" TargetMode="External"/><Relationship Id="rId175" Type="http://schemas.openxmlformats.org/officeDocument/2006/relationships/hyperlink" Target="mailto:reservation@thehivehotel.com" TargetMode="External"/><Relationship Id="rId340" Type="http://schemas.openxmlformats.org/officeDocument/2006/relationships/hyperlink" Target="mailto:jso@mercure-bandung-citycentre.com" TargetMode="External"/><Relationship Id="rId200" Type="http://schemas.openxmlformats.org/officeDocument/2006/relationships/hyperlink" Target="mailto:cikande@swiss-belhotel.com" TargetMode="External"/><Relationship Id="rId382" Type="http://schemas.openxmlformats.org/officeDocument/2006/relationships/hyperlink" Target="mailto:makassar@reservation.santika.com" TargetMode="External"/><Relationship Id="rId438" Type="http://schemas.openxmlformats.org/officeDocument/2006/relationships/hyperlink" Target="mailto:bekasibarat@reservation.amarishotel.com" TargetMode="External"/><Relationship Id="rId242" Type="http://schemas.openxmlformats.org/officeDocument/2006/relationships/hyperlink" Target="mailto:resvsibk@swiss-belhotel.com" TargetMode="External"/><Relationship Id="rId284" Type="http://schemas.openxmlformats.org/officeDocument/2006/relationships/hyperlink" Target="mailto:ados.thamrin@101urbanhotels.com" TargetMode="External"/><Relationship Id="rId491" Type="http://schemas.openxmlformats.org/officeDocument/2006/relationships/hyperlink" Target="mailto:theorientjakarta.adsm@royalhideaway.com" TargetMode="External"/><Relationship Id="rId37" Type="http://schemas.openxmlformats.org/officeDocument/2006/relationships/hyperlink" Target="mailto:moxy.socox.reservation@marriott.com" TargetMode="External"/><Relationship Id="rId79" Type="http://schemas.openxmlformats.org/officeDocument/2006/relationships/hyperlink" Target="mailto:myandhika@mohg.com" TargetMode="External"/><Relationship Id="rId102" Type="http://schemas.openxmlformats.org/officeDocument/2006/relationships/hyperlink" Target="mailto:yossy.natalya@the-ascott.com" TargetMode="External"/><Relationship Id="rId144" Type="http://schemas.openxmlformats.org/officeDocument/2006/relationships/hyperlink" Target="mailto:bobon.mulyana@the-ascott.com" TargetMode="External"/><Relationship Id="rId90" Type="http://schemas.openxmlformats.org/officeDocument/2006/relationships/hyperlink" Target="mailto:Ina.Karnina@Hilton.com" TargetMode="External"/><Relationship Id="rId186" Type="http://schemas.openxmlformats.org/officeDocument/2006/relationships/hyperlink" Target="mailto:reservation@hotelciputra.com" TargetMode="External"/><Relationship Id="rId351" Type="http://schemas.openxmlformats.org/officeDocument/2006/relationships/hyperlink" Target="mailto:Lidwina.KUSUMA@accor.com" TargetMode="External"/><Relationship Id="rId393" Type="http://schemas.openxmlformats.org/officeDocument/2006/relationships/hyperlink" Target="mailto:e-commerce@jogjagunungkidul.santika.com" TargetMode="External"/><Relationship Id="rId407" Type="http://schemas.openxmlformats.org/officeDocument/2006/relationships/hyperlink" Target="mailto:tasikmalaya@reservation.amarishotel.com" TargetMode="External"/><Relationship Id="rId449" Type="http://schemas.openxmlformats.org/officeDocument/2006/relationships/hyperlink" Target="mailto:pancoran@reservation.amarishotel.com" TargetMode="External"/><Relationship Id="rId211" Type="http://schemas.openxmlformats.org/officeDocument/2006/relationships/hyperlink" Target="mailto:resvsrda@swiss-belhotel.com" TargetMode="External"/><Relationship Id="rId253" Type="http://schemas.openxmlformats.org/officeDocument/2006/relationships/hyperlink" Target="mailto:resvscku@swiss-belhotel.com" TargetMode="External"/><Relationship Id="rId295" Type="http://schemas.openxmlformats.org/officeDocument/2006/relationships/hyperlink" Target="mailto:eka.tresna@accor.com" TargetMode="External"/><Relationship Id="rId309" Type="http://schemas.openxmlformats.org/officeDocument/2006/relationships/hyperlink" Target="mailto:sales1@mercureresortsanur.com" TargetMode="External"/><Relationship Id="rId460" Type="http://schemas.openxmlformats.org/officeDocument/2006/relationships/hyperlink" Target="mailto:thamrincity@reservation.amarishotel.com" TargetMode="External"/><Relationship Id="rId48" Type="http://schemas.openxmlformats.org/officeDocument/2006/relationships/hyperlink" Target="mailto:rachel.pangemanan@fourpoints.com" TargetMode="External"/><Relationship Id="rId113" Type="http://schemas.openxmlformats.org/officeDocument/2006/relationships/hyperlink" Target="mailto:sabrina.rachmani@the-ascott.com" TargetMode="External"/><Relationship Id="rId320" Type="http://schemas.openxmlformats.org/officeDocument/2006/relationships/hyperlink" Target="mailto:yustia.tyas@ibisbandungtransstudio.com" TargetMode="External"/><Relationship Id="rId155" Type="http://schemas.openxmlformats.org/officeDocument/2006/relationships/hyperlink" Target="mailto:nanang.hermana@the-ascott.com" TargetMode="External"/><Relationship Id="rId197" Type="http://schemas.openxmlformats.org/officeDocument/2006/relationships/hyperlink" Target="mailto:jakarta-zhai@zesthotel.com" TargetMode="External"/><Relationship Id="rId362" Type="http://schemas.openxmlformats.org/officeDocument/2006/relationships/hyperlink" Target="mailto:margorejo@reservation.amarishotel.com" TargetMode="External"/><Relationship Id="rId418" Type="http://schemas.openxmlformats.org/officeDocument/2006/relationships/hyperlink" Target="mailto:bengkulu@reservation.amarishotel.com" TargetMode="External"/><Relationship Id="rId222" Type="http://schemas.openxmlformats.org/officeDocument/2006/relationships/hyperlink" Target="mailto:revsias@swiss-belhotel.com" TargetMode="External"/><Relationship Id="rId264" Type="http://schemas.openxmlformats.org/officeDocument/2006/relationships/hyperlink" Target="mailto:ressbam@swiss-belhotel.com" TargetMode="External"/><Relationship Id="rId471" Type="http://schemas.openxmlformats.org/officeDocument/2006/relationships/hyperlink" Target="mailto:sa@samarinda.fugohotels.com" TargetMode="External"/><Relationship Id="rId17" Type="http://schemas.openxmlformats.org/officeDocument/2006/relationships/hyperlink" Target="mailto:agustina.onggo@sheraton.com" TargetMode="External"/><Relationship Id="rId59" Type="http://schemas.openxmlformats.org/officeDocument/2006/relationships/hyperlink" Target="mailto:reservations.fairfield@marriott.com" TargetMode="External"/><Relationship Id="rId124" Type="http://schemas.openxmlformats.org/officeDocument/2006/relationships/hyperlink" Target="mailto:derry.h@the-ascott.com" TargetMode="External"/><Relationship Id="rId70" Type="http://schemas.openxmlformats.org/officeDocument/2006/relationships/hyperlink" Target="mailto:rc.dpssw.reservation@ritzcarlton.com" TargetMode="External"/><Relationship Id="rId166" Type="http://schemas.openxmlformats.org/officeDocument/2006/relationships/hyperlink" Target="mailto:rokhim.pamungkas@the-ascott.com" TargetMode="External"/><Relationship Id="rId331" Type="http://schemas.openxmlformats.org/officeDocument/2006/relationships/hyperlink" Target="mailto:hotel.sales1@ibisstyles-jakarta-simatupang.com" TargetMode="External"/><Relationship Id="rId373" Type="http://schemas.openxmlformats.org/officeDocument/2006/relationships/hyperlink" Target="mailto:mataram@reservation.santika.com" TargetMode="External"/><Relationship Id="rId429" Type="http://schemas.openxmlformats.org/officeDocument/2006/relationships/hyperlink" Target="mailto:khibpremiere@reservation.santika.com" TargetMode="External"/><Relationship Id="rId1" Type="http://schemas.openxmlformats.org/officeDocument/2006/relationships/hyperlink" Target="mailto:cluster-secsales.balikpapan@jatrahotels.com" TargetMode="External"/><Relationship Id="rId233" Type="http://schemas.openxmlformats.org/officeDocument/2006/relationships/hyperlink" Target="mailto:resvbatam@swiss-belhotel.com" TargetMode="External"/><Relationship Id="rId440" Type="http://schemas.openxmlformats.org/officeDocument/2006/relationships/hyperlink" Target="mailto:citraraya@reservation.amarishotel.com" TargetMode="External"/><Relationship Id="rId28" Type="http://schemas.openxmlformats.org/officeDocument/2006/relationships/hyperlink" Target="mailto:reservations.hermitage@tributeportfolio.com" TargetMode="External"/><Relationship Id="rId275" Type="http://schemas.openxmlformats.org/officeDocument/2006/relationships/hyperlink" Target="mailto:ados.malangoj@the101hotels.com" TargetMode="External"/><Relationship Id="rId300" Type="http://schemas.openxmlformats.org/officeDocument/2006/relationships/hyperlink" Target="mailto:dos@mercure-samarinda.com" TargetMode="External"/><Relationship Id="rId482" Type="http://schemas.openxmlformats.org/officeDocument/2006/relationships/hyperlink" Target="mailto:Wilan.Septiana@Hilton.com" TargetMode="External"/><Relationship Id="rId81" Type="http://schemas.openxmlformats.org/officeDocument/2006/relationships/hyperlink" Target="mailto:Fitria.Apriandhita@Hilton.com" TargetMode="External"/><Relationship Id="rId135" Type="http://schemas.openxmlformats.org/officeDocument/2006/relationships/hyperlink" Target="mailto:nicolas.irawan@the-ascott.com" TargetMode="External"/><Relationship Id="rId177" Type="http://schemas.openxmlformats.org/officeDocument/2006/relationships/hyperlink" Target="mailto:reservation@bwsetiabudhi.com" TargetMode="External"/><Relationship Id="rId342" Type="http://schemas.openxmlformats.org/officeDocument/2006/relationships/hyperlink" Target="mailto:sm1@ibisstyles-bekasi-jatibening.com" TargetMode="External"/><Relationship Id="rId384" Type="http://schemas.openxmlformats.org/officeDocument/2006/relationships/hyperlink" Target="mailto:palu@santika.com" TargetMode="External"/><Relationship Id="rId202" Type="http://schemas.openxmlformats.org/officeDocument/2006/relationships/hyperlink" Target="mailto:resvseci@swiss-belhotel.com" TargetMode="External"/><Relationship Id="rId244" Type="http://schemas.openxmlformats.org/officeDocument/2006/relationships/hyperlink" Target="mailto:reservsisi@swiss-belhotel.com" TargetMode="External"/><Relationship Id="rId39" Type="http://schemas.openxmlformats.org/officeDocument/2006/relationships/hyperlink" Target="mailto:Cindy.Carolina@marriott.com" TargetMode="External"/><Relationship Id="rId286" Type="http://schemas.openxmlformats.org/officeDocument/2006/relationships/hyperlink" Target="mailto:sm.glodok@101urbanhotels.com" TargetMode="External"/><Relationship Id="rId451" Type="http://schemas.openxmlformats.org/officeDocument/2006/relationships/hyperlink" Target="mailto:polim2@reservation.amarishotel.com" TargetMode="External"/><Relationship Id="rId493" Type="http://schemas.openxmlformats.org/officeDocument/2006/relationships/hyperlink" Target="mailto:rohelin.purdjiati@hotelmulia.com" TargetMode="External"/><Relationship Id="rId50" Type="http://schemas.openxmlformats.org/officeDocument/2006/relationships/hyperlink" Target="mailto:desimariati.gunawan@marriott.com" TargetMode="External"/><Relationship Id="rId104" Type="http://schemas.openxmlformats.org/officeDocument/2006/relationships/hyperlink" Target="mailto:reservation.yktb@the-ascott.com" TargetMode="External"/><Relationship Id="rId146" Type="http://schemas.openxmlformats.org/officeDocument/2006/relationships/hyperlink" Target="mailto:raka.aditya@the-ascott.com" TargetMode="External"/><Relationship Id="rId188" Type="http://schemas.openxmlformats.org/officeDocument/2006/relationships/hyperlink" Target="mailto:jakarta-sbai@swiss-belhotel.com" TargetMode="External"/><Relationship Id="rId311" Type="http://schemas.openxmlformats.org/officeDocument/2006/relationships/hyperlink" Target="mailto:sales1@novotelbalikpapan.com" TargetMode="External"/><Relationship Id="rId353" Type="http://schemas.openxmlformats.org/officeDocument/2006/relationships/hyperlink" Target="mailto:gubengpremiere@reservation.santika.com" TargetMode="External"/><Relationship Id="rId395" Type="http://schemas.openxmlformats.org/officeDocument/2006/relationships/hyperlink" Target="mailto:pemuda@reservation.amarishotel.com" TargetMode="External"/><Relationship Id="rId409" Type="http://schemas.openxmlformats.org/officeDocument/2006/relationships/hyperlink" Target="mailto:medanpremiere@reservation.santika.com" TargetMode="External"/><Relationship Id="rId92" Type="http://schemas.openxmlformats.org/officeDocument/2006/relationships/hyperlink" Target="mailto:smg.jso@hoteltentrem.com" TargetMode="External"/><Relationship Id="rId213" Type="http://schemas.openxmlformats.org/officeDocument/2006/relationships/hyperlink" Target="mailto:sasiin@swiss-belhotel.com" TargetMode="External"/><Relationship Id="rId420" Type="http://schemas.openxmlformats.org/officeDocument/2006/relationships/hyperlink" Target="mailto:muarabungo@reservation.amarishotel.com" TargetMode="External"/><Relationship Id="rId255" Type="http://schemas.openxmlformats.org/officeDocument/2006/relationships/hyperlink" Target="mailto:manokwari@swiss-belhotel.com" TargetMode="External"/><Relationship Id="rId297" Type="http://schemas.openxmlformats.org/officeDocument/2006/relationships/hyperlink" Target="mailto:sm01@ibisstyles-medan-pattimura.com" TargetMode="External"/><Relationship Id="rId462" Type="http://schemas.openxmlformats.org/officeDocument/2006/relationships/hyperlink" Target="mailto:fitria.sukasti@patra-jasa.com" TargetMode="External"/><Relationship Id="rId115" Type="http://schemas.openxmlformats.org/officeDocument/2006/relationships/hyperlink" Target="mailto:asm.pdng@the-ascott.com" TargetMode="External"/><Relationship Id="rId157" Type="http://schemas.openxmlformats.org/officeDocument/2006/relationships/hyperlink" Target="mailto:reyza.hamdani@the-ascott.com" TargetMode="External"/><Relationship Id="rId322" Type="http://schemas.openxmlformats.org/officeDocument/2006/relationships/hyperlink" Target="mailto:balqis.NURFIRDAUS@accor.com" TargetMode="External"/><Relationship Id="rId364" Type="http://schemas.openxmlformats.org/officeDocument/2006/relationships/hyperlink" Target="mailto:madiun@reservation.amarishotel.com" TargetMode="External"/><Relationship Id="rId61" Type="http://schemas.openxmlformats.org/officeDocument/2006/relationships/hyperlink" Target="mailto:Elisabeth.Pradipta@marriott.com" TargetMode="External"/><Relationship Id="rId199" Type="http://schemas.openxmlformats.org/officeDocument/2006/relationships/hyperlink" Target="mailto:resvscsr@swiss-belhotel.com" TargetMode="External"/><Relationship Id="rId19" Type="http://schemas.openxmlformats.org/officeDocument/2006/relationships/hyperlink" Target="mailto:ari.hermawan@marriott.com" TargetMode="External"/><Relationship Id="rId224" Type="http://schemas.openxmlformats.org/officeDocument/2006/relationships/hyperlink" Target="mailto:resvsimy@swiss-belhotel.com" TargetMode="External"/><Relationship Id="rId266" Type="http://schemas.openxmlformats.org/officeDocument/2006/relationships/hyperlink" Target="mailto:resvsbku@swiss-belhotel.com" TargetMode="External"/><Relationship Id="rId431" Type="http://schemas.openxmlformats.org/officeDocument/2006/relationships/hyperlink" Target="mailto:bogor@reservation.santika.com" TargetMode="External"/><Relationship Id="rId473" Type="http://schemas.openxmlformats.org/officeDocument/2006/relationships/hyperlink" Target="mailto:tineke.kimbal@thetranshotel.com" TargetMode="External"/><Relationship Id="rId30" Type="http://schemas.openxmlformats.org/officeDocument/2006/relationships/hyperlink" Target="mailto:Zetha.Sontany@ritzcarlton.com" TargetMode="External"/><Relationship Id="rId126" Type="http://schemas.openxmlformats.org/officeDocument/2006/relationships/hyperlink" Target="mailto:sales.pkaj@the-ascott.com" TargetMode="External"/><Relationship Id="rId168" Type="http://schemas.openxmlformats.org/officeDocument/2006/relationships/hyperlink" Target="mailto:gea.dewi@the-ascott.com" TargetMode="External"/><Relationship Id="rId333" Type="http://schemas.openxmlformats.org/officeDocument/2006/relationships/hyperlink" Target="mailto:vanessa.christy@accor.com" TargetMode="External"/><Relationship Id="rId72" Type="http://schemas.openxmlformats.org/officeDocument/2006/relationships/hyperlink" Target="mailto:Dyah.kartikasari@westin.com" TargetMode="External"/><Relationship Id="rId375" Type="http://schemas.openxmlformats.org/officeDocument/2006/relationships/hyperlink" Target="mailto:dewisri@reservation.amarishotel.com" TargetMode="External"/><Relationship Id="rId3" Type="http://schemas.openxmlformats.org/officeDocument/2006/relationships/hyperlink" Target="mailto:cluster-secsales.balikpapan@jatrahotels.com" TargetMode="External"/><Relationship Id="rId235" Type="http://schemas.openxmlformats.org/officeDocument/2006/relationships/hyperlink" Target="mailto:rsvnsbpp@swiss-belhotel.com" TargetMode="External"/><Relationship Id="rId277" Type="http://schemas.openxmlformats.org/officeDocument/2006/relationships/hyperlink" Target="mailto:dosm.dago@the101hotels.com" TargetMode="External"/><Relationship Id="rId400" Type="http://schemas.openxmlformats.org/officeDocument/2006/relationships/hyperlink" Target="mailto:cirebon@reservation.santika.com" TargetMode="External"/><Relationship Id="rId442" Type="http://schemas.openxmlformats.org/officeDocument/2006/relationships/hyperlink" Target="mailto:kebonsirih@reservation.amarishotel.com" TargetMode="External"/><Relationship Id="rId484" Type="http://schemas.openxmlformats.org/officeDocument/2006/relationships/hyperlink" Target="mailto:Ginasari.Hayati@the-dharmawangsa.com" TargetMode="External"/><Relationship Id="rId137" Type="http://schemas.openxmlformats.org/officeDocument/2006/relationships/hyperlink" Target="mailto:Zulia.efrida@the-ascott.com" TargetMode="External"/><Relationship Id="rId302" Type="http://schemas.openxmlformats.org/officeDocument/2006/relationships/hyperlink" Target="mailto:se4@ibisstyles-serpong-bsdcity.com" TargetMode="External"/><Relationship Id="rId344" Type="http://schemas.openxmlformats.org/officeDocument/2006/relationships/hyperlink" Target="mailto:ados@novotelsolo.com" TargetMode="External"/><Relationship Id="rId41" Type="http://schemas.openxmlformats.org/officeDocument/2006/relationships/hyperlink" Target="mailto:fp.subfk.reservation@fourpoints.com" TargetMode="External"/><Relationship Id="rId83" Type="http://schemas.openxmlformats.org/officeDocument/2006/relationships/hyperlink" Target="mailto:sm1@thegrandmansion.co.id" TargetMode="External"/><Relationship Id="rId179" Type="http://schemas.openxmlformats.org/officeDocument/2006/relationships/hyperlink" Target="mailto:reservation@papiliohotel.com" TargetMode="External"/><Relationship Id="rId386" Type="http://schemas.openxmlformats.org/officeDocument/2006/relationships/hyperlink" Target="mailto:gorontalo@reservation.amarishot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D4D4-52A7-42DD-AAD8-FD61F6E89C65}">
  <sheetPr>
    <tabColor rgb="FFFFFF00"/>
  </sheetPr>
  <dimension ref="A1:M745"/>
  <sheetViews>
    <sheetView tabSelected="1" topLeftCell="A332" zoomScale="71" zoomScaleNormal="100" workbookViewId="0">
      <pane xSplit="5" topLeftCell="H1" activePane="topRight" state="frozen"/>
      <selection activeCell="B2" sqref="B2"/>
      <selection pane="topRight" activeCell="H340" sqref="H340"/>
    </sheetView>
  </sheetViews>
  <sheetFormatPr defaultColWidth="8.81640625" defaultRowHeight="14" customHeight="1" x14ac:dyDescent="0.3"/>
  <cols>
    <col min="1" max="1" width="7.81640625" style="10" customWidth="1"/>
    <col min="2" max="2" width="24.81640625" style="10" customWidth="1"/>
    <col min="3" max="3" width="27.81640625" style="10" customWidth="1"/>
    <col min="4" max="4" width="17.54296875" style="10" customWidth="1"/>
    <col min="5" max="5" width="55.453125" style="11" bestFit="1" customWidth="1"/>
    <col min="6" max="6" width="45.7265625" style="64" customWidth="1"/>
    <col min="7" max="7" width="18.81640625" style="108" customWidth="1"/>
    <col min="8" max="8" width="31.1796875" style="105" customWidth="1"/>
    <col min="9" max="9" width="22.1796875" style="105" bestFit="1" customWidth="1"/>
    <col min="10" max="11" width="25.1796875" style="105" customWidth="1"/>
    <col min="12" max="12" width="82.7265625" style="10" customWidth="1"/>
    <col min="13" max="16384" width="8.81640625" style="18"/>
  </cols>
  <sheetData>
    <row r="1" spans="1:13" s="184" customFormat="1" ht="14" customHeight="1" x14ac:dyDescent="0.3">
      <c r="A1" s="179" t="s">
        <v>20</v>
      </c>
      <c r="B1" s="179" t="s">
        <v>21</v>
      </c>
      <c r="C1" s="8" t="s">
        <v>38</v>
      </c>
      <c r="D1" s="180" t="s">
        <v>22</v>
      </c>
      <c r="E1" s="181" t="s">
        <v>1</v>
      </c>
      <c r="F1" s="182" t="s">
        <v>23</v>
      </c>
      <c r="G1" s="183" t="s">
        <v>39</v>
      </c>
      <c r="H1" s="183" t="s">
        <v>40</v>
      </c>
      <c r="I1" s="183" t="s">
        <v>24</v>
      </c>
      <c r="J1" s="183" t="s">
        <v>25</v>
      </c>
      <c r="K1" s="8" t="s">
        <v>26</v>
      </c>
      <c r="L1" s="184" t="s">
        <v>27</v>
      </c>
      <c r="M1" s="184" t="s">
        <v>2</v>
      </c>
    </row>
    <row r="2" spans="1:13" ht="14" customHeight="1" x14ac:dyDescent="0.3">
      <c r="A2" s="9">
        <v>1</v>
      </c>
      <c r="B2" s="9" t="s">
        <v>0</v>
      </c>
      <c r="C2" s="10" t="s">
        <v>33</v>
      </c>
      <c r="D2" s="11" t="s">
        <v>1808</v>
      </c>
      <c r="E2" s="12" t="s">
        <v>41</v>
      </c>
      <c r="F2" s="13" t="s">
        <v>42</v>
      </c>
      <c r="G2" s="14">
        <v>920960</v>
      </c>
      <c r="H2" s="16">
        <v>792550</v>
      </c>
      <c r="I2" s="16">
        <f>Table13[[#This Row],[Publish Rate]]-Table13[[#This Row],[Offering Corporate Rate 2026]]</f>
        <v>128410</v>
      </c>
      <c r="J2" s="17" t="str">
        <f>IF(Table13[[#This Row],[Nilai Selisih]]&gt;100000,"Recommend","Revise")</f>
        <v>Recommend</v>
      </c>
      <c r="K2" s="17" t="s">
        <v>3</v>
      </c>
      <c r="L2" s="10" t="s">
        <v>43</v>
      </c>
      <c r="M2" s="18" t="s">
        <v>3</v>
      </c>
    </row>
    <row r="3" spans="1:13" ht="14" customHeight="1" x14ac:dyDescent="0.3">
      <c r="A3" s="9">
        <v>1</v>
      </c>
      <c r="B3" s="9" t="s">
        <v>0</v>
      </c>
      <c r="C3" s="10" t="s">
        <v>33</v>
      </c>
      <c r="D3" s="19" t="s">
        <v>1808</v>
      </c>
      <c r="E3" s="20" t="s">
        <v>44</v>
      </c>
      <c r="F3" s="1" t="s">
        <v>45</v>
      </c>
      <c r="G3" s="21">
        <v>712500</v>
      </c>
      <c r="H3" s="22">
        <v>575000</v>
      </c>
      <c r="I3" s="16">
        <f>Table13[[#This Row],[Publish Rate]]-Table13[[#This Row],[Offering Corporate Rate 2026]]</f>
        <v>137500</v>
      </c>
      <c r="J3" s="17" t="str">
        <f>IF(Table13[[#This Row],[Nilai Selisih]]&gt;100000,"Recommend","Revise")</f>
        <v>Recommend</v>
      </c>
      <c r="K3" s="17" t="s">
        <v>3</v>
      </c>
      <c r="L3" s="19" t="s">
        <v>34</v>
      </c>
      <c r="M3" s="18" t="s">
        <v>3</v>
      </c>
    </row>
    <row r="4" spans="1:13" ht="14" customHeight="1" x14ac:dyDescent="0.3">
      <c r="A4" s="9">
        <v>1</v>
      </c>
      <c r="B4" s="9" t="s">
        <v>0</v>
      </c>
      <c r="C4" s="10" t="s">
        <v>33</v>
      </c>
      <c r="D4" s="23" t="s">
        <v>1808</v>
      </c>
      <c r="E4" s="24" t="s">
        <v>46</v>
      </c>
      <c r="F4" s="2" t="s">
        <v>47</v>
      </c>
      <c r="G4" s="21">
        <v>1381680</v>
      </c>
      <c r="H4" s="22">
        <v>1250000</v>
      </c>
      <c r="I4" s="16">
        <f>Table13[[#This Row],[Publish Rate]]-Table13[[#This Row],[Offering Corporate Rate 2026]]</f>
        <v>131680</v>
      </c>
      <c r="J4" s="17" t="str">
        <f>IF(Table13[[#This Row],[Nilai Selisih]]&gt;100000,"Recommend","Revise")</f>
        <v>Recommend</v>
      </c>
      <c r="K4" s="17" t="s">
        <v>3</v>
      </c>
      <c r="L4" s="19" t="s">
        <v>48</v>
      </c>
      <c r="M4" s="18" t="s">
        <v>3</v>
      </c>
    </row>
    <row r="5" spans="1:13" ht="14" customHeight="1" x14ac:dyDescent="0.3">
      <c r="A5" s="9">
        <v>1</v>
      </c>
      <c r="B5" s="9" t="s">
        <v>0</v>
      </c>
      <c r="C5" s="10" t="s">
        <v>33</v>
      </c>
      <c r="D5" s="19" t="s">
        <v>1806</v>
      </c>
      <c r="E5" s="25" t="s">
        <v>49</v>
      </c>
      <c r="F5" s="1" t="s">
        <v>50</v>
      </c>
      <c r="G5" s="26">
        <v>3362287</v>
      </c>
      <c r="H5" s="26">
        <v>2160000</v>
      </c>
      <c r="I5" s="16">
        <f>Table13[[#This Row],[Publish Rate]]-Table13[[#This Row],[Offering Corporate Rate 2026]]</f>
        <v>1202287</v>
      </c>
      <c r="J5" s="17" t="str">
        <f>IF(Table13[[#This Row],[Nilai Selisih]]&gt;100000,"Recommend","Revise")</f>
        <v>Recommend</v>
      </c>
      <c r="K5" s="17" t="s">
        <v>3</v>
      </c>
      <c r="L5" s="19" t="s">
        <v>51</v>
      </c>
      <c r="M5" s="18" t="s">
        <v>3</v>
      </c>
    </row>
    <row r="6" spans="1:13" ht="14" customHeight="1" x14ac:dyDescent="0.3">
      <c r="A6" s="9">
        <v>1</v>
      </c>
      <c r="B6" s="9" t="s">
        <v>0</v>
      </c>
      <c r="C6" s="10" t="s">
        <v>33</v>
      </c>
      <c r="D6" s="19" t="s">
        <v>30</v>
      </c>
      <c r="E6" s="27" t="s">
        <v>52</v>
      </c>
      <c r="F6" s="3" t="s">
        <v>53</v>
      </c>
      <c r="G6" s="28">
        <v>3571920</v>
      </c>
      <c r="H6" s="22">
        <v>1950000</v>
      </c>
      <c r="I6" s="16">
        <f>Table13[[#This Row],[Publish Rate]]-Table13[[#This Row],[Offering Corporate Rate 2026]]</f>
        <v>1621920</v>
      </c>
      <c r="J6" s="17" t="str">
        <f>IF(Table13[[#This Row],[Nilai Selisih]]&gt;100000,"Recommend","Revise")</f>
        <v>Recommend</v>
      </c>
      <c r="K6" s="17" t="s">
        <v>3</v>
      </c>
      <c r="L6" s="19" t="s">
        <v>34</v>
      </c>
      <c r="M6" s="18" t="s">
        <v>3</v>
      </c>
    </row>
    <row r="7" spans="1:13" ht="14" customHeight="1" x14ac:dyDescent="0.3">
      <c r="A7" s="9">
        <v>1</v>
      </c>
      <c r="B7" s="9" t="s">
        <v>0</v>
      </c>
      <c r="C7" s="10" t="s">
        <v>33</v>
      </c>
      <c r="D7" s="19" t="s">
        <v>30</v>
      </c>
      <c r="E7" s="23" t="s">
        <v>54</v>
      </c>
      <c r="F7" s="1" t="s">
        <v>55</v>
      </c>
      <c r="G7" s="29">
        <v>2413950</v>
      </c>
      <c r="H7" s="22">
        <v>1650000</v>
      </c>
      <c r="I7" s="16">
        <f>Table13[[#This Row],[Publish Rate]]-Table13[[#This Row],[Offering Corporate Rate 2026]]</f>
        <v>763950</v>
      </c>
      <c r="J7" s="17" t="str">
        <f>IF(Table13[[#This Row],[Nilai Selisih]]&gt;100000,"Recommend","Revise")</f>
        <v>Recommend</v>
      </c>
      <c r="K7" s="17" t="s">
        <v>3</v>
      </c>
      <c r="L7" s="19" t="s">
        <v>51</v>
      </c>
      <c r="M7" s="18" t="s">
        <v>3</v>
      </c>
    </row>
    <row r="8" spans="1:13" ht="14" customHeight="1" x14ac:dyDescent="0.3">
      <c r="A8" s="9">
        <v>1</v>
      </c>
      <c r="B8" s="9" t="s">
        <v>0</v>
      </c>
      <c r="C8" s="30" t="s">
        <v>33</v>
      </c>
      <c r="D8" s="31" t="s">
        <v>1809</v>
      </c>
      <c r="E8" s="31" t="s">
        <v>56</v>
      </c>
      <c r="F8" s="4" t="s">
        <v>57</v>
      </c>
      <c r="G8" s="26">
        <v>664999</v>
      </c>
      <c r="H8" s="26">
        <v>580000</v>
      </c>
      <c r="I8" s="16">
        <f>Table13[[#This Row],[Publish Rate]]-Table13[[#This Row],[Offering Corporate Rate 2026]]</f>
        <v>84999</v>
      </c>
      <c r="J8" s="17" t="str">
        <f>IF(Table13[[#This Row],[Nilai Selisih]]&gt;100000,"Recommend","Revise")</f>
        <v>Revise</v>
      </c>
      <c r="K8" s="17" t="s">
        <v>3</v>
      </c>
      <c r="L8" s="31" t="s">
        <v>37</v>
      </c>
      <c r="M8" s="18" t="s">
        <v>3</v>
      </c>
    </row>
    <row r="9" spans="1:13" ht="14" customHeight="1" x14ac:dyDescent="0.3">
      <c r="A9" s="9">
        <v>1</v>
      </c>
      <c r="B9" s="9" t="s">
        <v>0</v>
      </c>
      <c r="C9" s="10" t="s">
        <v>33</v>
      </c>
      <c r="D9" s="19" t="s">
        <v>724</v>
      </c>
      <c r="E9" s="23" t="s">
        <v>58</v>
      </c>
      <c r="F9" s="1" t="s">
        <v>59</v>
      </c>
      <c r="G9" s="21">
        <v>781660</v>
      </c>
      <c r="H9" s="22">
        <v>785000</v>
      </c>
      <c r="I9" s="16">
        <f>Table13[[#This Row],[Publish Rate]]-Table13[[#This Row],[Offering Corporate Rate 2026]]</f>
        <v>-3340</v>
      </c>
      <c r="J9" s="17" t="str">
        <f>IF(Table13[[#This Row],[Nilai Selisih]]&gt;100000,"Recommend","Revise")</f>
        <v>Revise</v>
      </c>
      <c r="K9" s="17" t="s">
        <v>3</v>
      </c>
      <c r="L9" s="19" t="s">
        <v>60</v>
      </c>
      <c r="M9" s="18" t="s">
        <v>3</v>
      </c>
    </row>
    <row r="10" spans="1:13" ht="14" customHeight="1" x14ac:dyDescent="0.3">
      <c r="A10" s="9">
        <v>1</v>
      </c>
      <c r="B10" s="9" t="s">
        <v>0</v>
      </c>
      <c r="C10" s="10" t="s">
        <v>33</v>
      </c>
      <c r="D10" s="19" t="s">
        <v>30</v>
      </c>
      <c r="E10" s="20" t="s">
        <v>61</v>
      </c>
      <c r="F10" s="1" t="s">
        <v>62</v>
      </c>
      <c r="G10" s="22">
        <v>2424679</v>
      </c>
      <c r="H10" s="22">
        <v>1880000</v>
      </c>
      <c r="I10" s="16">
        <f>Table13[[#This Row],[Publish Rate]]-Table13[[#This Row],[Offering Corporate Rate 2026]]</f>
        <v>544679</v>
      </c>
      <c r="J10" s="17" t="str">
        <f>IF(Table13[[#This Row],[Nilai Selisih]]&gt;100000,"Recommend","Revise")</f>
        <v>Recommend</v>
      </c>
      <c r="K10" s="17" t="s">
        <v>3</v>
      </c>
      <c r="L10" s="19" t="s">
        <v>35</v>
      </c>
      <c r="M10" s="18" t="s">
        <v>3</v>
      </c>
    </row>
    <row r="11" spans="1:13" ht="14" customHeight="1" x14ac:dyDescent="0.3">
      <c r="A11" s="9">
        <v>1</v>
      </c>
      <c r="B11" s="9" t="s">
        <v>0</v>
      </c>
      <c r="C11" s="10" t="s">
        <v>33</v>
      </c>
      <c r="D11" s="19" t="s">
        <v>1804</v>
      </c>
      <c r="E11" s="19" t="s">
        <v>63</v>
      </c>
      <c r="F11" s="1" t="s">
        <v>64</v>
      </c>
      <c r="G11" s="22">
        <v>1066850</v>
      </c>
      <c r="H11" s="22">
        <v>1076900</v>
      </c>
      <c r="I11" s="16">
        <f>Table13[[#This Row],[Publish Rate]]-Table13[[#This Row],[Offering Corporate Rate 2026]]</f>
        <v>-10050</v>
      </c>
      <c r="J11" s="17" t="str">
        <f>IF(Table13[[#This Row],[Nilai Selisih]]&gt;100000,"Recommend","Revise")</f>
        <v>Revise</v>
      </c>
      <c r="K11" s="17" t="s">
        <v>3</v>
      </c>
      <c r="L11" s="19" t="s">
        <v>37</v>
      </c>
      <c r="M11" s="18" t="s">
        <v>3</v>
      </c>
    </row>
    <row r="12" spans="1:13" ht="14" customHeight="1" x14ac:dyDescent="0.3">
      <c r="A12" s="9">
        <v>1</v>
      </c>
      <c r="B12" s="9" t="s">
        <v>0</v>
      </c>
      <c r="C12" s="10" t="s">
        <v>33</v>
      </c>
      <c r="D12" s="19" t="s">
        <v>30</v>
      </c>
      <c r="E12" s="20" t="s">
        <v>65</v>
      </c>
      <c r="F12" s="1" t="s">
        <v>66</v>
      </c>
      <c r="G12" s="22">
        <v>2032316</v>
      </c>
      <c r="H12" s="32">
        <v>1588000</v>
      </c>
      <c r="I12" s="16">
        <f>Table13[[#This Row],[Publish Rate]]-Table13[[#This Row],[Offering Corporate Rate 2026]]</f>
        <v>444316</v>
      </c>
      <c r="J12" s="17" t="str">
        <f>IF(Table13[[#This Row],[Nilai Selisih]]&gt;100000,"Recommend","Revise")</f>
        <v>Recommend</v>
      </c>
      <c r="K12" s="17" t="s">
        <v>3</v>
      </c>
      <c r="L12" s="19" t="s">
        <v>67</v>
      </c>
      <c r="M12" s="18" t="s">
        <v>3</v>
      </c>
    </row>
    <row r="13" spans="1:13" ht="14" customHeight="1" x14ac:dyDescent="0.3">
      <c r="A13" s="9">
        <v>1</v>
      </c>
      <c r="B13" s="9" t="s">
        <v>0</v>
      </c>
      <c r="C13" s="10" t="s">
        <v>33</v>
      </c>
      <c r="D13" s="19" t="s">
        <v>1268</v>
      </c>
      <c r="E13" s="20" t="s">
        <v>68</v>
      </c>
      <c r="F13" s="24" t="s">
        <v>69</v>
      </c>
      <c r="G13" s="22">
        <v>1003098</v>
      </c>
      <c r="H13" s="22">
        <v>975000</v>
      </c>
      <c r="I13" s="16">
        <f>Table13[[#This Row],[Publish Rate]]-Table13[[#This Row],[Offering Corporate Rate 2026]]</f>
        <v>28098</v>
      </c>
      <c r="J13" s="17" t="str">
        <f>IF(Table13[[#This Row],[Nilai Selisih]]&gt;100000,"Recommend","Revise")</f>
        <v>Revise</v>
      </c>
      <c r="K13" s="17" t="s">
        <v>3</v>
      </c>
      <c r="L13" s="19" t="s">
        <v>37</v>
      </c>
      <c r="M13" s="18" t="s">
        <v>3</v>
      </c>
    </row>
    <row r="14" spans="1:13" ht="14" customHeight="1" x14ac:dyDescent="0.3">
      <c r="A14" s="9">
        <v>1</v>
      </c>
      <c r="B14" s="9" t="s">
        <v>0</v>
      </c>
      <c r="C14" s="10" t="s">
        <v>33</v>
      </c>
      <c r="D14" s="19" t="s">
        <v>1808</v>
      </c>
      <c r="E14" s="20" t="s">
        <v>70</v>
      </c>
      <c r="F14" s="1" t="s">
        <v>71</v>
      </c>
      <c r="G14" s="22">
        <v>1201801</v>
      </c>
      <c r="H14" s="22">
        <v>978890</v>
      </c>
      <c r="I14" s="16">
        <f>Table13[[#This Row],[Publish Rate]]-Table13[[#This Row],[Offering Corporate Rate 2026]]</f>
        <v>222911</v>
      </c>
      <c r="J14" s="17" t="str">
        <f>IF(Table13[[#This Row],[Nilai Selisih]]&gt;100000,"Recommend","Revise")</f>
        <v>Recommend</v>
      </c>
      <c r="K14" s="17" t="s">
        <v>3</v>
      </c>
      <c r="L14" s="33" t="s">
        <v>36</v>
      </c>
      <c r="M14" s="18" t="s">
        <v>3</v>
      </c>
    </row>
    <row r="15" spans="1:13" ht="14" customHeight="1" x14ac:dyDescent="0.3">
      <c r="A15" s="9">
        <v>1</v>
      </c>
      <c r="B15" s="9" t="s">
        <v>0</v>
      </c>
      <c r="C15" s="10" t="s">
        <v>33</v>
      </c>
      <c r="D15" s="19" t="s">
        <v>1008</v>
      </c>
      <c r="E15" s="20" t="s">
        <v>72</v>
      </c>
      <c r="F15" s="1" t="s">
        <v>73</v>
      </c>
      <c r="G15" s="22">
        <v>874855</v>
      </c>
      <c r="H15" s="22">
        <v>850000</v>
      </c>
      <c r="I15" s="16">
        <f>Table13[[#This Row],[Publish Rate]]-Table13[[#This Row],[Offering Corporate Rate 2026]]</f>
        <v>24855</v>
      </c>
      <c r="J15" s="17" t="str">
        <f>IF(Table13[[#This Row],[Nilai Selisih]]&gt;100000,"Recommend","Revise")</f>
        <v>Revise</v>
      </c>
      <c r="K15" s="17" t="s">
        <v>3</v>
      </c>
      <c r="L15" s="19" t="s">
        <v>37</v>
      </c>
      <c r="M15" s="18" t="s">
        <v>3</v>
      </c>
    </row>
    <row r="16" spans="1:13" ht="14" customHeight="1" x14ac:dyDescent="0.3">
      <c r="A16" s="9">
        <v>1</v>
      </c>
      <c r="B16" s="9" t="s">
        <v>0</v>
      </c>
      <c r="C16" s="10" t="s">
        <v>33</v>
      </c>
      <c r="D16" s="19" t="s">
        <v>1808</v>
      </c>
      <c r="E16" s="20" t="s">
        <v>74</v>
      </c>
      <c r="F16" s="1" t="s">
        <v>75</v>
      </c>
      <c r="G16" s="22">
        <v>1163294</v>
      </c>
      <c r="H16" s="22">
        <v>1028500</v>
      </c>
      <c r="I16" s="16">
        <f>Table13[[#This Row],[Publish Rate]]-Table13[[#This Row],[Offering Corporate Rate 2026]]</f>
        <v>134794</v>
      </c>
      <c r="J16" s="17" t="str">
        <f>IF(Table13[[#This Row],[Nilai Selisih]]&gt;100000,"Recommend","Revise")</f>
        <v>Recommend</v>
      </c>
      <c r="K16" s="17" t="s">
        <v>3</v>
      </c>
      <c r="L16" s="19" t="s">
        <v>36</v>
      </c>
      <c r="M16" s="18" t="s">
        <v>3</v>
      </c>
    </row>
    <row r="17" spans="1:13" ht="14" customHeight="1" x14ac:dyDescent="0.3">
      <c r="A17" s="9">
        <v>1</v>
      </c>
      <c r="B17" s="9" t="s">
        <v>0</v>
      </c>
      <c r="C17" s="10" t="s">
        <v>33</v>
      </c>
      <c r="D17" s="19" t="s">
        <v>1269</v>
      </c>
      <c r="E17" s="20" t="s">
        <v>76</v>
      </c>
      <c r="F17" s="5" t="s">
        <v>77</v>
      </c>
      <c r="G17" s="22">
        <v>847672</v>
      </c>
      <c r="H17" s="22">
        <v>919000</v>
      </c>
      <c r="I17" s="16">
        <f>Table13[[#This Row],[Publish Rate]]-Table13[[#This Row],[Offering Corporate Rate 2026]]</f>
        <v>-71328</v>
      </c>
      <c r="J17" s="17" t="str">
        <f>IF(Table13[[#This Row],[Nilai Selisih]]&gt;100000,"Recommend","Revise")</f>
        <v>Revise</v>
      </c>
      <c r="K17" s="17" t="s">
        <v>3</v>
      </c>
      <c r="L17" s="19" t="s">
        <v>78</v>
      </c>
      <c r="M17" s="18" t="s">
        <v>3</v>
      </c>
    </row>
    <row r="18" spans="1:13" ht="14" customHeight="1" x14ac:dyDescent="0.3">
      <c r="A18" s="9">
        <v>1</v>
      </c>
      <c r="B18" s="9" t="s">
        <v>0</v>
      </c>
      <c r="C18" s="10" t="s">
        <v>33</v>
      </c>
      <c r="D18" s="19" t="s">
        <v>1008</v>
      </c>
      <c r="E18" s="20" t="s">
        <v>79</v>
      </c>
      <c r="F18" s="1" t="s">
        <v>80</v>
      </c>
      <c r="G18" s="22">
        <v>1259441</v>
      </c>
      <c r="H18" s="26">
        <v>1030000</v>
      </c>
      <c r="I18" s="16">
        <f>Table13[[#This Row],[Publish Rate]]-Table13[[#This Row],[Offering Corporate Rate 2026]]</f>
        <v>229441</v>
      </c>
      <c r="J18" s="17" t="str">
        <f>IF(Table13[[#This Row],[Nilai Selisih]]&gt;100000,"Recommend","Revise")</f>
        <v>Recommend</v>
      </c>
      <c r="K18" s="17" t="s">
        <v>3</v>
      </c>
      <c r="L18" s="19" t="s">
        <v>81</v>
      </c>
      <c r="M18" s="18" t="s">
        <v>3</v>
      </c>
    </row>
    <row r="19" spans="1:13" ht="14" customHeight="1" x14ac:dyDescent="0.3">
      <c r="A19" s="9">
        <v>1</v>
      </c>
      <c r="B19" s="9" t="s">
        <v>0</v>
      </c>
      <c r="C19" s="10" t="s">
        <v>33</v>
      </c>
      <c r="D19" s="19" t="s">
        <v>30</v>
      </c>
      <c r="E19" s="20" t="s">
        <v>82</v>
      </c>
      <c r="F19" s="1" t="s">
        <v>83</v>
      </c>
      <c r="G19" s="22">
        <v>3276075</v>
      </c>
      <c r="H19" s="22">
        <v>3835700</v>
      </c>
      <c r="I19" s="15">
        <f>Table13[[#This Row],[Publish Rate]]-Table13[[#This Row],[Offering Corporate Rate 2026]]</f>
        <v>-559625</v>
      </c>
      <c r="J19" s="17" t="str">
        <f>IF(Table13[[#This Row],[Nilai Selisih]]&gt;100000,"Recommend","Revise")</f>
        <v>Revise</v>
      </c>
      <c r="K19" s="17" t="s">
        <v>3</v>
      </c>
      <c r="L19" s="19" t="s">
        <v>37</v>
      </c>
      <c r="M19" s="18" t="s">
        <v>3</v>
      </c>
    </row>
    <row r="20" spans="1:13" ht="14" customHeight="1" x14ac:dyDescent="0.3">
      <c r="A20" s="9">
        <v>1</v>
      </c>
      <c r="B20" s="9" t="s">
        <v>0</v>
      </c>
      <c r="C20" s="10" t="s">
        <v>33</v>
      </c>
      <c r="D20" s="19" t="s">
        <v>1804</v>
      </c>
      <c r="E20" s="20" t="s">
        <v>84</v>
      </c>
      <c r="F20" s="1" t="s">
        <v>85</v>
      </c>
      <c r="G20" s="22">
        <v>1882424</v>
      </c>
      <c r="H20" s="22">
        <v>2000000</v>
      </c>
      <c r="I20" s="16">
        <f>Table13[[#This Row],[Publish Rate]]-Table13[[#This Row],[Offering Corporate Rate 2026]]</f>
        <v>-117576</v>
      </c>
      <c r="J20" s="17" t="str">
        <f>IF(Table13[[#This Row],[Nilai Selisih]]&gt;100000,"Recommend","Revise")</f>
        <v>Revise</v>
      </c>
      <c r="K20" s="17" t="s">
        <v>3</v>
      </c>
      <c r="L20" s="19" t="s">
        <v>1824</v>
      </c>
      <c r="M20" s="18" t="s">
        <v>3</v>
      </c>
    </row>
    <row r="21" spans="1:13" ht="14" customHeight="1" x14ac:dyDescent="0.3">
      <c r="A21" s="9">
        <v>1</v>
      </c>
      <c r="B21" s="9" t="s">
        <v>0</v>
      </c>
      <c r="C21" s="10" t="s">
        <v>33</v>
      </c>
      <c r="D21" s="19" t="s">
        <v>1808</v>
      </c>
      <c r="E21" s="20" t="s">
        <v>86</v>
      </c>
      <c r="F21" s="1" t="s">
        <v>87</v>
      </c>
      <c r="G21" s="22">
        <v>2038063</v>
      </c>
      <c r="H21" s="22">
        <v>1620000</v>
      </c>
      <c r="I21" s="16">
        <f>Table13[[#This Row],[Publish Rate]]-Table13[[#This Row],[Offering Corporate Rate 2026]]</f>
        <v>418063</v>
      </c>
      <c r="J21" s="17" t="str">
        <f>IF(Table13[[#This Row],[Nilai Selisih]]&gt;100000,"Recommend","Revise")</f>
        <v>Recommend</v>
      </c>
      <c r="K21" s="17" t="s">
        <v>3</v>
      </c>
      <c r="L21" s="19" t="s">
        <v>1826</v>
      </c>
      <c r="M21" s="18" t="s">
        <v>3</v>
      </c>
    </row>
    <row r="22" spans="1:13" ht="14" customHeight="1" x14ac:dyDescent="0.3">
      <c r="A22" s="9">
        <v>1</v>
      </c>
      <c r="B22" s="9" t="s">
        <v>0</v>
      </c>
      <c r="C22" s="10" t="s">
        <v>33</v>
      </c>
      <c r="D22" s="19" t="s">
        <v>30</v>
      </c>
      <c r="E22" s="20" t="s">
        <v>88</v>
      </c>
      <c r="F22" s="1" t="s">
        <v>89</v>
      </c>
      <c r="G22" s="22">
        <v>1474400</v>
      </c>
      <c r="H22" s="22">
        <v>1138000</v>
      </c>
      <c r="I22" s="16">
        <f>Table13[[#This Row],[Publish Rate]]-Table13[[#This Row],[Offering Corporate Rate 2026]]</f>
        <v>336400</v>
      </c>
      <c r="J22" s="17" t="str">
        <f>IF(Table13[[#This Row],[Nilai Selisih]]&gt;100000,"Recommend","Revise")</f>
        <v>Recommend</v>
      </c>
      <c r="K22" s="17" t="s">
        <v>3</v>
      </c>
      <c r="L22" s="19" t="s">
        <v>48</v>
      </c>
      <c r="M22" s="18" t="s">
        <v>3</v>
      </c>
    </row>
    <row r="23" spans="1:13" ht="14" customHeight="1" x14ac:dyDescent="0.3">
      <c r="A23" s="9">
        <v>1</v>
      </c>
      <c r="B23" s="9" t="s">
        <v>0</v>
      </c>
      <c r="C23" s="10" t="s">
        <v>33</v>
      </c>
      <c r="D23" s="19" t="s">
        <v>1808</v>
      </c>
      <c r="E23" s="20" t="s">
        <v>90</v>
      </c>
      <c r="F23" s="1" t="s">
        <v>91</v>
      </c>
      <c r="G23" s="22">
        <v>2781790</v>
      </c>
      <c r="H23" s="22">
        <v>1950000</v>
      </c>
      <c r="I23" s="16">
        <f>Table13[[#This Row],[Publish Rate]]-Table13[[#This Row],[Offering Corporate Rate 2026]]</f>
        <v>831790</v>
      </c>
      <c r="J23" s="17" t="str">
        <f>IF(Table13[[#This Row],[Nilai Selisih]]&gt;100000,"Recommend","Revise")</f>
        <v>Recommend</v>
      </c>
      <c r="K23" s="17" t="s">
        <v>3</v>
      </c>
      <c r="L23" s="19" t="s">
        <v>92</v>
      </c>
      <c r="M23" s="18" t="s">
        <v>3</v>
      </c>
    </row>
    <row r="24" spans="1:13" ht="14" customHeight="1" x14ac:dyDescent="0.3">
      <c r="A24" s="9">
        <v>1</v>
      </c>
      <c r="B24" s="9" t="s">
        <v>0</v>
      </c>
      <c r="C24" s="10" t="s">
        <v>33</v>
      </c>
      <c r="D24" s="19" t="s">
        <v>1804</v>
      </c>
      <c r="E24" s="20" t="s">
        <v>93</v>
      </c>
      <c r="F24" s="1" t="s">
        <v>94</v>
      </c>
      <c r="G24" s="22">
        <v>1104707</v>
      </c>
      <c r="H24" s="22">
        <v>950000</v>
      </c>
      <c r="I24" s="16">
        <f>Table13[[#This Row],[Publish Rate]]-Table13[[#This Row],[Offering Corporate Rate 2026]]</f>
        <v>154707</v>
      </c>
      <c r="J24" s="17" t="str">
        <f>IF(Table13[[#This Row],[Nilai Selisih]]&gt;100000,"Recommend","Revise")</f>
        <v>Recommend</v>
      </c>
      <c r="K24" s="17" t="s">
        <v>3</v>
      </c>
      <c r="L24" s="19" t="s">
        <v>95</v>
      </c>
      <c r="M24" s="18" t="s">
        <v>3</v>
      </c>
    </row>
    <row r="25" spans="1:13" ht="14" customHeight="1" x14ac:dyDescent="0.3">
      <c r="A25" s="9">
        <v>1</v>
      </c>
      <c r="B25" s="9" t="s">
        <v>0</v>
      </c>
      <c r="C25" s="10" t="s">
        <v>33</v>
      </c>
      <c r="D25" s="19" t="s">
        <v>1804</v>
      </c>
      <c r="E25" s="20" t="s">
        <v>96</v>
      </c>
      <c r="F25" s="1" t="s">
        <v>94</v>
      </c>
      <c r="G25" s="22">
        <v>593227</v>
      </c>
      <c r="H25" s="22">
        <v>600000</v>
      </c>
      <c r="I25" s="16">
        <f>Table13[[#This Row],[Publish Rate]]-Table13[[#This Row],[Offering Corporate Rate 2026]]</f>
        <v>-6773</v>
      </c>
      <c r="J25" s="17" t="str">
        <f>IF(Table13[[#This Row],[Nilai Selisih]]&gt;100000,"Recommend","Revise")</f>
        <v>Revise</v>
      </c>
      <c r="K25" s="17" t="s">
        <v>3</v>
      </c>
      <c r="L25" s="19" t="s">
        <v>97</v>
      </c>
      <c r="M25" s="18" t="s">
        <v>3</v>
      </c>
    </row>
    <row r="26" spans="1:13" ht="14" customHeight="1" x14ac:dyDescent="0.3">
      <c r="A26" s="9">
        <v>1</v>
      </c>
      <c r="B26" s="9" t="s">
        <v>0</v>
      </c>
      <c r="C26" s="10" t="s">
        <v>33</v>
      </c>
      <c r="D26" s="19" t="s">
        <v>1808</v>
      </c>
      <c r="E26" s="20" t="s">
        <v>98</v>
      </c>
      <c r="F26" s="1" t="s">
        <v>99</v>
      </c>
      <c r="G26" s="34">
        <v>666710</v>
      </c>
      <c r="H26" s="22">
        <v>750000</v>
      </c>
      <c r="I26" s="16">
        <f>Table13[[#This Row],[Publish Rate]]-Table13[[#This Row],[Offering Corporate Rate 2026]]</f>
        <v>-83290</v>
      </c>
      <c r="J26" s="17" t="str">
        <f>IF(Table13[[#This Row],[Nilai Selisih]]&gt;100000,"Recommend","Revise")</f>
        <v>Revise</v>
      </c>
      <c r="K26" s="17" t="s">
        <v>3</v>
      </c>
      <c r="L26" s="19" t="s">
        <v>100</v>
      </c>
      <c r="M26" s="18" t="s">
        <v>3</v>
      </c>
    </row>
    <row r="27" spans="1:13" ht="14" customHeight="1" x14ac:dyDescent="0.3">
      <c r="A27" s="9">
        <v>1</v>
      </c>
      <c r="B27" s="9" t="s">
        <v>0</v>
      </c>
      <c r="C27" s="10" t="s">
        <v>33</v>
      </c>
      <c r="D27" s="19" t="s">
        <v>724</v>
      </c>
      <c r="E27" s="20" t="s">
        <v>101</v>
      </c>
      <c r="F27" s="1" t="s">
        <v>102</v>
      </c>
      <c r="G27" s="22">
        <v>2456002</v>
      </c>
      <c r="H27" s="22">
        <v>1850000</v>
      </c>
      <c r="I27" s="16">
        <f>Table13[[#This Row],[Publish Rate]]-Table13[[#This Row],[Offering Corporate Rate 2026]]</f>
        <v>606002</v>
      </c>
      <c r="J27" s="17" t="str">
        <f>IF(Table13[[#This Row],[Nilai Selisih]]&gt;100000,"Recommend","Revise")</f>
        <v>Recommend</v>
      </c>
      <c r="K27" s="17" t="s">
        <v>3</v>
      </c>
      <c r="L27" s="19" t="s">
        <v>1827</v>
      </c>
      <c r="M27" s="18" t="s">
        <v>3</v>
      </c>
    </row>
    <row r="28" spans="1:13" ht="14" customHeight="1" x14ac:dyDescent="0.3">
      <c r="A28" s="9">
        <v>1</v>
      </c>
      <c r="B28" s="9" t="s">
        <v>0</v>
      </c>
      <c r="C28" s="10" t="s">
        <v>33</v>
      </c>
      <c r="D28" s="19" t="s">
        <v>724</v>
      </c>
      <c r="E28" s="20" t="s">
        <v>103</v>
      </c>
      <c r="F28" s="1" t="s">
        <v>102</v>
      </c>
      <c r="G28" s="22">
        <v>854980</v>
      </c>
      <c r="H28" s="22">
        <v>750000</v>
      </c>
      <c r="I28" s="16">
        <f>Table13[[#This Row],[Publish Rate]]-Table13[[#This Row],[Offering Corporate Rate 2026]]</f>
        <v>104980</v>
      </c>
      <c r="J28" s="17" t="str">
        <f>IF(Table13[[#This Row],[Nilai Selisih]]&gt;100000,"Recommend","Revise")</f>
        <v>Recommend</v>
      </c>
      <c r="K28" s="17" t="s">
        <v>3</v>
      </c>
      <c r="L28" s="19" t="s">
        <v>104</v>
      </c>
      <c r="M28" s="18" t="s">
        <v>3</v>
      </c>
    </row>
    <row r="29" spans="1:13" ht="14" customHeight="1" x14ac:dyDescent="0.3">
      <c r="A29" s="9">
        <v>1</v>
      </c>
      <c r="B29" s="9" t="s">
        <v>0</v>
      </c>
      <c r="C29" s="10" t="s">
        <v>33</v>
      </c>
      <c r="D29" s="23" t="s">
        <v>30</v>
      </c>
      <c r="E29" s="24" t="s">
        <v>105</v>
      </c>
      <c r="F29" s="2" t="s">
        <v>106</v>
      </c>
      <c r="G29" s="34">
        <v>1362157</v>
      </c>
      <c r="H29" s="35">
        <v>1200000</v>
      </c>
      <c r="I29" s="16">
        <f>Table13[[#This Row],[Publish Rate]]-Table13[[#This Row],[Offering Corporate Rate 2026]]</f>
        <v>162157</v>
      </c>
      <c r="J29" s="17" t="str">
        <f>IF(Table13[[#This Row],[Nilai Selisih]]&gt;100000,"Recommend","Revise")</f>
        <v>Recommend</v>
      </c>
      <c r="K29" s="17" t="s">
        <v>3</v>
      </c>
      <c r="L29" s="19" t="s">
        <v>107</v>
      </c>
      <c r="M29" s="18" t="s">
        <v>3</v>
      </c>
    </row>
    <row r="30" spans="1:13" ht="14" customHeight="1" x14ac:dyDescent="0.3">
      <c r="A30" s="9">
        <v>1</v>
      </c>
      <c r="B30" s="9" t="s">
        <v>0</v>
      </c>
      <c r="C30" s="10" t="s">
        <v>33</v>
      </c>
      <c r="D30" s="19" t="s">
        <v>1808</v>
      </c>
      <c r="E30" s="20" t="s">
        <v>108</v>
      </c>
      <c r="F30" s="1" t="s">
        <v>109</v>
      </c>
      <c r="G30" s="22">
        <v>1138099</v>
      </c>
      <c r="H30" s="22">
        <v>1188000</v>
      </c>
      <c r="I30" s="15">
        <f>Table13[[#This Row],[Publish Rate]]-Table13[[#This Row],[Offering Corporate Rate 2026]]</f>
        <v>-49901</v>
      </c>
      <c r="J30" s="17" t="str">
        <f>IF(Table13[[#This Row],[Nilai Selisih]]&gt;100000,"Recommend","Revise")</f>
        <v>Revise</v>
      </c>
      <c r="K30" s="17" t="s">
        <v>3</v>
      </c>
      <c r="L30" s="19" t="s">
        <v>81</v>
      </c>
      <c r="M30" s="18" t="s">
        <v>3</v>
      </c>
    </row>
    <row r="31" spans="1:13" ht="14" customHeight="1" x14ac:dyDescent="0.3">
      <c r="A31" s="9">
        <v>1</v>
      </c>
      <c r="B31" s="9" t="s">
        <v>0</v>
      </c>
      <c r="C31" s="10" t="s">
        <v>33</v>
      </c>
      <c r="D31" s="19" t="s">
        <v>30</v>
      </c>
      <c r="E31" s="20" t="s">
        <v>110</v>
      </c>
      <c r="F31" s="1" t="s">
        <v>111</v>
      </c>
      <c r="G31" s="34">
        <v>1262628</v>
      </c>
      <c r="H31" s="22">
        <v>1550000</v>
      </c>
      <c r="I31" s="15">
        <f>Table13[[#This Row],[Publish Rate]]-Table13[[#This Row],[Offering Corporate Rate 2026]]</f>
        <v>-287372</v>
      </c>
      <c r="J31" s="17" t="str">
        <f>IF(Table13[[#This Row],[Nilai Selisih]]&gt;100000,"Recommend","Revise")</f>
        <v>Revise</v>
      </c>
      <c r="K31" s="17" t="s">
        <v>3</v>
      </c>
      <c r="L31" s="20" t="s">
        <v>112</v>
      </c>
      <c r="M31" s="18" t="s">
        <v>3</v>
      </c>
    </row>
    <row r="32" spans="1:13" ht="14" customHeight="1" x14ac:dyDescent="0.3">
      <c r="A32" s="9">
        <v>1</v>
      </c>
      <c r="B32" s="9" t="s">
        <v>0</v>
      </c>
      <c r="C32" s="10" t="s">
        <v>33</v>
      </c>
      <c r="D32" s="19" t="s">
        <v>1809</v>
      </c>
      <c r="E32" s="20" t="s">
        <v>15</v>
      </c>
      <c r="F32" s="24" t="s">
        <v>69</v>
      </c>
      <c r="G32" s="34">
        <v>980100</v>
      </c>
      <c r="H32" s="22">
        <v>850000</v>
      </c>
      <c r="I32" s="15">
        <f>Table13[[#This Row],[Publish Rate]]-Table13[[#This Row],[Offering Corporate Rate 2026]]</f>
        <v>130100</v>
      </c>
      <c r="J32" s="17" t="str">
        <f>IF(Table13[[#This Row],[Nilai Selisih]]&gt;100000,"Recommend","Revise")</f>
        <v>Recommend</v>
      </c>
      <c r="K32" s="17" t="s">
        <v>3</v>
      </c>
      <c r="L32" s="20" t="s">
        <v>35</v>
      </c>
      <c r="M32" s="18" t="s">
        <v>3</v>
      </c>
    </row>
    <row r="33" spans="1:13" ht="14" customHeight="1" x14ac:dyDescent="0.3">
      <c r="A33" s="9">
        <v>1</v>
      </c>
      <c r="B33" s="9" t="s">
        <v>0</v>
      </c>
      <c r="C33" s="10" t="s">
        <v>33</v>
      </c>
      <c r="D33" s="19" t="s">
        <v>724</v>
      </c>
      <c r="E33" s="20" t="s">
        <v>113</v>
      </c>
      <c r="F33" s="1" t="s">
        <v>114</v>
      </c>
      <c r="G33" s="34">
        <v>711360</v>
      </c>
      <c r="H33" s="22">
        <v>740000</v>
      </c>
      <c r="I33" s="16">
        <f>Table13[[#This Row],[Publish Rate]]-Table13[[#This Row],[Offering Corporate Rate 2026]]</f>
        <v>-28640</v>
      </c>
      <c r="J33" s="17" t="str">
        <f>IF(Table13[[#This Row],[Nilai Selisih]]&gt;100000,"Recommend","Revise")</f>
        <v>Revise</v>
      </c>
      <c r="K33" s="17" t="s">
        <v>3</v>
      </c>
      <c r="L33" s="20" t="s">
        <v>37</v>
      </c>
      <c r="M33" s="18" t="s">
        <v>3</v>
      </c>
    </row>
    <row r="34" spans="1:13" ht="14" customHeight="1" x14ac:dyDescent="0.3">
      <c r="A34" s="9">
        <v>1</v>
      </c>
      <c r="B34" s="9" t="s">
        <v>0</v>
      </c>
      <c r="C34" s="10" t="s">
        <v>33</v>
      </c>
      <c r="D34" s="19" t="s">
        <v>724</v>
      </c>
      <c r="E34" s="20" t="s">
        <v>115</v>
      </c>
      <c r="F34" s="1" t="s">
        <v>116</v>
      </c>
      <c r="G34" s="34">
        <v>508249</v>
      </c>
      <c r="H34" s="22">
        <v>680000</v>
      </c>
      <c r="I34" s="16">
        <f>Table13[[#This Row],[Publish Rate]]-Table13[[#This Row],[Offering Corporate Rate 2026]]</f>
        <v>-171751</v>
      </c>
      <c r="J34" s="17" t="str">
        <f>IF(Table13[[#This Row],[Nilai Selisih]]&gt;100000,"Recommend","Revise")</f>
        <v>Revise</v>
      </c>
      <c r="K34" s="17" t="s">
        <v>3</v>
      </c>
      <c r="L34" s="20" t="s">
        <v>117</v>
      </c>
      <c r="M34" s="18" t="s">
        <v>3</v>
      </c>
    </row>
    <row r="35" spans="1:13" ht="14" customHeight="1" x14ac:dyDescent="0.3">
      <c r="A35" s="9">
        <v>1</v>
      </c>
      <c r="B35" s="9" t="s">
        <v>0</v>
      </c>
      <c r="C35" s="10" t="s">
        <v>33</v>
      </c>
      <c r="D35" s="19" t="s">
        <v>30</v>
      </c>
      <c r="E35" s="20" t="s">
        <v>118</v>
      </c>
      <c r="F35" s="1" t="s">
        <v>119</v>
      </c>
      <c r="G35" s="34">
        <v>2733625</v>
      </c>
      <c r="H35" s="22">
        <v>2238500</v>
      </c>
      <c r="I35" s="16">
        <f>Table13[[#This Row],[Publish Rate]]-Table13[[#This Row],[Offering Corporate Rate 2026]]</f>
        <v>495125</v>
      </c>
      <c r="J35" s="17" t="str">
        <f>IF(Table13[[#This Row],[Nilai Selisih]]&gt;100000,"Recommend","Revise")</f>
        <v>Recommend</v>
      </c>
      <c r="K35" s="17" t="s">
        <v>3</v>
      </c>
      <c r="L35" s="20" t="s">
        <v>120</v>
      </c>
      <c r="M35" s="18" t="s">
        <v>3</v>
      </c>
    </row>
    <row r="36" spans="1:13" ht="14" customHeight="1" x14ac:dyDescent="0.3">
      <c r="A36" s="9">
        <v>1</v>
      </c>
      <c r="B36" s="9" t="s">
        <v>0</v>
      </c>
      <c r="C36" s="10" t="s">
        <v>33</v>
      </c>
      <c r="D36" s="19" t="s">
        <v>1810</v>
      </c>
      <c r="E36" s="20" t="s">
        <v>121</v>
      </c>
      <c r="F36" s="1" t="s">
        <v>122</v>
      </c>
      <c r="G36" s="34">
        <v>872100</v>
      </c>
      <c r="H36" s="22">
        <v>790000</v>
      </c>
      <c r="I36" s="16">
        <f>Table13[[#This Row],[Publish Rate]]-Table13[[#This Row],[Offering Corporate Rate 2026]]</f>
        <v>82100</v>
      </c>
      <c r="J36" s="17" t="str">
        <f>IF(Table13[[#This Row],[Nilai Selisih]]&gt;100000,"Recommend","Revise")</f>
        <v>Revise</v>
      </c>
      <c r="K36" s="17" t="s">
        <v>3</v>
      </c>
      <c r="L36" s="20" t="s">
        <v>81</v>
      </c>
      <c r="M36" s="18" t="s">
        <v>3</v>
      </c>
    </row>
    <row r="37" spans="1:13" ht="14" customHeight="1" x14ac:dyDescent="0.3">
      <c r="A37" s="9">
        <v>1</v>
      </c>
      <c r="B37" s="9" t="s">
        <v>0</v>
      </c>
      <c r="C37" s="10" t="s">
        <v>33</v>
      </c>
      <c r="D37" s="19" t="s">
        <v>1808</v>
      </c>
      <c r="E37" s="20" t="s">
        <v>123</v>
      </c>
      <c r="F37" s="1" t="s">
        <v>124</v>
      </c>
      <c r="G37" s="34">
        <v>1092500</v>
      </c>
      <c r="H37" s="22">
        <v>900000</v>
      </c>
      <c r="I37" s="16">
        <f>Table13[[#This Row],[Publish Rate]]-Table13[[#This Row],[Offering Corporate Rate 2026]]</f>
        <v>192500</v>
      </c>
      <c r="J37" s="17" t="str">
        <f>IF(Table13[[#This Row],[Nilai Selisih]]&gt;100000,"Recommend","Revise")</f>
        <v>Recommend</v>
      </c>
      <c r="K37" s="17" t="s">
        <v>3</v>
      </c>
      <c r="L37" s="20" t="s">
        <v>125</v>
      </c>
      <c r="M37" s="18" t="s">
        <v>3</v>
      </c>
    </row>
    <row r="38" spans="1:13" ht="14" customHeight="1" x14ac:dyDescent="0.3">
      <c r="A38" s="9">
        <v>1</v>
      </c>
      <c r="B38" s="9" t="s">
        <v>0</v>
      </c>
      <c r="C38" s="10" t="s">
        <v>33</v>
      </c>
      <c r="D38" s="19" t="s">
        <v>1811</v>
      </c>
      <c r="E38" s="20" t="s">
        <v>126</v>
      </c>
      <c r="F38" s="1" t="s">
        <v>127</v>
      </c>
      <c r="G38" s="34">
        <v>698896</v>
      </c>
      <c r="H38" s="22">
        <v>750200</v>
      </c>
      <c r="I38" s="16">
        <f>Table13[[#This Row],[Publish Rate]]-Table13[[#This Row],[Offering Corporate Rate 2026]]</f>
        <v>-51304</v>
      </c>
      <c r="J38" s="17" t="str">
        <f>IF(Table13[[#This Row],[Nilai Selisih]]&gt;100000,"Recommend","Revise")</f>
        <v>Revise</v>
      </c>
      <c r="K38" s="17" t="s">
        <v>3</v>
      </c>
      <c r="L38" s="20" t="s">
        <v>48</v>
      </c>
      <c r="M38" s="18" t="s">
        <v>3</v>
      </c>
    </row>
    <row r="39" spans="1:13" ht="14" customHeight="1" x14ac:dyDescent="0.3">
      <c r="A39" s="9">
        <v>1</v>
      </c>
      <c r="B39" s="9" t="s">
        <v>0</v>
      </c>
      <c r="C39" s="10" t="s">
        <v>33</v>
      </c>
      <c r="D39" s="19" t="s">
        <v>1808</v>
      </c>
      <c r="E39" s="20" t="s">
        <v>128</v>
      </c>
      <c r="F39" s="1" t="s">
        <v>129</v>
      </c>
      <c r="G39" s="34">
        <v>3034680</v>
      </c>
      <c r="H39" s="22">
        <v>2000000</v>
      </c>
      <c r="I39" s="16">
        <f>Table13[[#This Row],[Publish Rate]]-Table13[[#This Row],[Offering Corporate Rate 2026]]</f>
        <v>1034680</v>
      </c>
      <c r="J39" s="17" t="str">
        <f>IF(Table13[[#This Row],[Nilai Selisih]]&gt;100000,"Recommend","Revise")</f>
        <v>Recommend</v>
      </c>
      <c r="K39" s="17" t="s">
        <v>3</v>
      </c>
      <c r="L39" s="20" t="s">
        <v>130</v>
      </c>
      <c r="M39" s="18" t="s">
        <v>3</v>
      </c>
    </row>
    <row r="40" spans="1:13" ht="14" customHeight="1" x14ac:dyDescent="0.3">
      <c r="A40" s="9">
        <v>1</v>
      </c>
      <c r="B40" s="9" t="s">
        <v>0</v>
      </c>
      <c r="C40" s="10" t="s">
        <v>33</v>
      </c>
      <c r="D40" s="19" t="s">
        <v>1808</v>
      </c>
      <c r="E40" s="20" t="s">
        <v>131</v>
      </c>
      <c r="F40" s="1" t="s">
        <v>132</v>
      </c>
      <c r="G40" s="34">
        <v>5100000</v>
      </c>
      <c r="H40" s="22">
        <v>2400000</v>
      </c>
      <c r="I40" s="16">
        <f>Table13[[#This Row],[Publish Rate]]-Table13[[#This Row],[Offering Corporate Rate 2026]]</f>
        <v>2700000</v>
      </c>
      <c r="J40" s="17" t="str">
        <f>IF(Table13[[#This Row],[Nilai Selisih]]&gt;100000,"Recommend","Revise")</f>
        <v>Recommend</v>
      </c>
      <c r="K40" s="17" t="s">
        <v>3</v>
      </c>
      <c r="L40" s="20" t="s">
        <v>1828</v>
      </c>
      <c r="M40" s="18" t="s">
        <v>3</v>
      </c>
    </row>
    <row r="41" spans="1:13" ht="14" customHeight="1" x14ac:dyDescent="0.3">
      <c r="A41" s="9">
        <v>1</v>
      </c>
      <c r="B41" s="9" t="s">
        <v>0</v>
      </c>
      <c r="C41" s="10" t="s">
        <v>33</v>
      </c>
      <c r="D41" s="19" t="s">
        <v>1812</v>
      </c>
      <c r="E41" s="20" t="s">
        <v>133</v>
      </c>
      <c r="F41" s="1" t="s">
        <v>134</v>
      </c>
      <c r="G41" s="34">
        <v>1272999</v>
      </c>
      <c r="H41" s="22">
        <v>1560000</v>
      </c>
      <c r="I41" s="16">
        <f>Table13[[#This Row],[Publish Rate]]-Table13[[#This Row],[Offering Corporate Rate 2026]]</f>
        <v>-287001</v>
      </c>
      <c r="J41" s="17" t="str">
        <f>IF(Table13[[#This Row],[Nilai Selisih]]&gt;100000,"Recommend","Revise")</f>
        <v>Revise</v>
      </c>
      <c r="K41" s="17" t="s">
        <v>3</v>
      </c>
      <c r="L41" s="20" t="s">
        <v>37</v>
      </c>
      <c r="M41" s="18" t="s">
        <v>3</v>
      </c>
    </row>
    <row r="42" spans="1:13" ht="14" customHeight="1" x14ac:dyDescent="0.3">
      <c r="A42" s="9">
        <v>1</v>
      </c>
      <c r="B42" s="9" t="s">
        <v>0</v>
      </c>
      <c r="C42" s="10" t="s">
        <v>33</v>
      </c>
      <c r="D42" s="19" t="s">
        <v>1811</v>
      </c>
      <c r="E42" s="20" t="s">
        <v>135</v>
      </c>
      <c r="F42" s="1" t="s">
        <v>136</v>
      </c>
      <c r="G42" s="34">
        <v>1700072</v>
      </c>
      <c r="H42" s="22">
        <v>1200000</v>
      </c>
      <c r="I42" s="16">
        <f>Table13[[#This Row],[Publish Rate]]-Table13[[#This Row],[Offering Corporate Rate 2026]]</f>
        <v>500072</v>
      </c>
      <c r="J42" s="17" t="str">
        <f>IF(Table13[[#This Row],[Nilai Selisih]]&gt;100000,"Recommend","Revise")</f>
        <v>Recommend</v>
      </c>
      <c r="K42" s="17" t="s">
        <v>3</v>
      </c>
      <c r="L42" s="20" t="s">
        <v>1829</v>
      </c>
      <c r="M42" s="18" t="s">
        <v>3</v>
      </c>
    </row>
    <row r="43" spans="1:13" ht="14" customHeight="1" x14ac:dyDescent="0.3">
      <c r="A43" s="9">
        <v>1</v>
      </c>
      <c r="B43" s="9" t="s">
        <v>0</v>
      </c>
      <c r="C43" s="10" t="s">
        <v>33</v>
      </c>
      <c r="D43" s="19" t="s">
        <v>30</v>
      </c>
      <c r="E43" s="20" t="s">
        <v>137</v>
      </c>
      <c r="F43" s="1" t="s">
        <v>138</v>
      </c>
      <c r="G43" s="34">
        <v>2105067</v>
      </c>
      <c r="H43" s="22">
        <v>1875500</v>
      </c>
      <c r="I43" s="16">
        <f>Table13[[#This Row],[Publish Rate]]-Table13[[#This Row],[Offering Corporate Rate 2026]]</f>
        <v>229567</v>
      </c>
      <c r="J43" s="17" t="str">
        <f>IF(Table13[[#This Row],[Nilai Selisih]]&gt;100000,"Recommend","Revise")</f>
        <v>Recommend</v>
      </c>
      <c r="K43" s="17" t="s">
        <v>3</v>
      </c>
      <c r="L43" s="20" t="s">
        <v>139</v>
      </c>
      <c r="M43" s="18" t="s">
        <v>3</v>
      </c>
    </row>
    <row r="44" spans="1:13" ht="14" customHeight="1" x14ac:dyDescent="0.3">
      <c r="A44" s="9">
        <v>1</v>
      </c>
      <c r="B44" s="9" t="s">
        <v>0</v>
      </c>
      <c r="C44" s="10" t="s">
        <v>33</v>
      </c>
      <c r="D44" s="19" t="s">
        <v>724</v>
      </c>
      <c r="E44" s="20" t="s">
        <v>140</v>
      </c>
      <c r="F44" s="1" t="s">
        <v>141</v>
      </c>
      <c r="G44" s="34">
        <v>1121000</v>
      </c>
      <c r="H44" s="22">
        <v>1200000</v>
      </c>
      <c r="I44" s="16">
        <f>Table13[[#This Row],[Publish Rate]]-Table13[[#This Row],[Offering Corporate Rate 2026]]</f>
        <v>-79000</v>
      </c>
      <c r="J44" s="17" t="str">
        <f>IF(Table13[[#This Row],[Nilai Selisih]]&gt;100000,"Recommend","Revise")</f>
        <v>Revise</v>
      </c>
      <c r="K44" s="17" t="s">
        <v>3</v>
      </c>
      <c r="L44" s="20" t="s">
        <v>142</v>
      </c>
      <c r="M44" s="18" t="s">
        <v>3</v>
      </c>
    </row>
    <row r="45" spans="1:13" ht="14" customHeight="1" x14ac:dyDescent="0.3">
      <c r="A45" s="9">
        <v>1</v>
      </c>
      <c r="B45" s="9" t="s">
        <v>0</v>
      </c>
      <c r="C45" s="10" t="s">
        <v>33</v>
      </c>
      <c r="D45" s="19" t="s">
        <v>724</v>
      </c>
      <c r="E45" s="20" t="s">
        <v>143</v>
      </c>
      <c r="F45" s="1" t="s">
        <v>141</v>
      </c>
      <c r="G45" s="34">
        <v>726749</v>
      </c>
      <c r="H45" s="22">
        <v>800000</v>
      </c>
      <c r="I45" s="16">
        <f>Table13[[#This Row],[Publish Rate]]-Table13[[#This Row],[Offering Corporate Rate 2026]]</f>
        <v>-73251</v>
      </c>
      <c r="J45" s="17" t="str">
        <f>IF(Table13[[#This Row],[Nilai Selisih]]&gt;100000,"Recommend","Revise")</f>
        <v>Revise</v>
      </c>
      <c r="K45" s="17" t="s">
        <v>3</v>
      </c>
      <c r="L45" s="19" t="s">
        <v>36</v>
      </c>
      <c r="M45" s="18" t="s">
        <v>3</v>
      </c>
    </row>
    <row r="46" spans="1:13" ht="14" customHeight="1" x14ac:dyDescent="0.3">
      <c r="A46" s="9">
        <v>1</v>
      </c>
      <c r="B46" s="9" t="s">
        <v>0</v>
      </c>
      <c r="C46" s="10" t="s">
        <v>33</v>
      </c>
      <c r="D46" s="19" t="s">
        <v>1808</v>
      </c>
      <c r="E46" s="20" t="s">
        <v>144</v>
      </c>
      <c r="F46" s="1" t="s">
        <v>145</v>
      </c>
      <c r="G46" s="34">
        <v>1451599</v>
      </c>
      <c r="H46" s="22">
        <v>1250000</v>
      </c>
      <c r="I46" s="16">
        <f>Table13[[#This Row],[Publish Rate]]-Table13[[#This Row],[Offering Corporate Rate 2026]]</f>
        <v>201599</v>
      </c>
      <c r="J46" s="17" t="str">
        <f>IF(Table13[[#This Row],[Nilai Selisih]]&gt;100000,"Recommend","Revise")</f>
        <v>Recommend</v>
      </c>
      <c r="K46" s="17" t="s">
        <v>3</v>
      </c>
      <c r="L46" s="19" t="s">
        <v>81</v>
      </c>
      <c r="M46" s="18" t="s">
        <v>3</v>
      </c>
    </row>
    <row r="47" spans="1:13" ht="14" customHeight="1" x14ac:dyDescent="0.3">
      <c r="A47" s="9">
        <v>1</v>
      </c>
      <c r="B47" s="9" t="s">
        <v>0</v>
      </c>
      <c r="C47" s="10" t="s">
        <v>33</v>
      </c>
      <c r="D47" s="19" t="s">
        <v>724</v>
      </c>
      <c r="E47" s="20" t="s">
        <v>146</v>
      </c>
      <c r="F47" s="1" t="s">
        <v>147</v>
      </c>
      <c r="G47" s="34">
        <v>1933249</v>
      </c>
      <c r="H47" s="22">
        <v>1919000</v>
      </c>
      <c r="I47" s="16">
        <f>Table13[[#This Row],[Publish Rate]]-Table13[[#This Row],[Offering Corporate Rate 2026]]</f>
        <v>14249</v>
      </c>
      <c r="J47" s="17" t="str">
        <f>IF(Table13[[#This Row],[Nilai Selisih]]&gt;100000,"Recommend","Revise")</f>
        <v>Revise</v>
      </c>
      <c r="K47" s="17" t="s">
        <v>3</v>
      </c>
      <c r="L47" s="19" t="s">
        <v>36</v>
      </c>
      <c r="M47" s="18" t="s">
        <v>3</v>
      </c>
    </row>
    <row r="48" spans="1:13" ht="14" customHeight="1" x14ac:dyDescent="0.3">
      <c r="A48" s="9">
        <v>1</v>
      </c>
      <c r="B48" s="9" t="s">
        <v>0</v>
      </c>
      <c r="C48" s="10" t="s">
        <v>33</v>
      </c>
      <c r="D48" s="19" t="s">
        <v>513</v>
      </c>
      <c r="E48" s="20" t="s">
        <v>148</v>
      </c>
      <c r="F48" s="1" t="s">
        <v>149</v>
      </c>
      <c r="G48" s="34">
        <v>1401249</v>
      </c>
      <c r="H48" s="22">
        <v>1400000</v>
      </c>
      <c r="I48" s="16">
        <f>Table13[[#This Row],[Publish Rate]]-Table13[[#This Row],[Offering Corporate Rate 2026]]</f>
        <v>1249</v>
      </c>
      <c r="J48" s="17" t="str">
        <f>IF(Table13[[#This Row],[Nilai Selisih]]&gt;100000,"Recommend","Revise")</f>
        <v>Revise</v>
      </c>
      <c r="K48" s="17" t="s">
        <v>3</v>
      </c>
      <c r="L48" s="19" t="s">
        <v>150</v>
      </c>
      <c r="M48" s="18" t="s">
        <v>3</v>
      </c>
    </row>
    <row r="49" spans="1:13" ht="14" customHeight="1" x14ac:dyDescent="0.3">
      <c r="A49" s="9">
        <v>1</v>
      </c>
      <c r="B49" s="9" t="s">
        <v>0</v>
      </c>
      <c r="C49" s="10" t="s">
        <v>33</v>
      </c>
      <c r="D49" s="19" t="s">
        <v>1808</v>
      </c>
      <c r="E49" s="20" t="s">
        <v>151</v>
      </c>
      <c r="F49" s="1" t="s">
        <v>152</v>
      </c>
      <c r="G49" s="34">
        <v>770165</v>
      </c>
      <c r="H49" s="22">
        <v>820000</v>
      </c>
      <c r="I49" s="16">
        <f>Table13[[#This Row],[Publish Rate]]-Table13[[#This Row],[Offering Corporate Rate 2026]]</f>
        <v>-49835</v>
      </c>
      <c r="J49" s="17" t="str">
        <f>IF(Table13[[#This Row],[Nilai Selisih]]&gt;100000,"Recommend","Revise")</f>
        <v>Revise</v>
      </c>
      <c r="K49" s="17" t="s">
        <v>3</v>
      </c>
      <c r="L49" s="19" t="s">
        <v>153</v>
      </c>
      <c r="M49" s="18" t="s">
        <v>3</v>
      </c>
    </row>
    <row r="50" spans="1:13" ht="14" customHeight="1" x14ac:dyDescent="0.3">
      <c r="A50" s="9">
        <v>1</v>
      </c>
      <c r="B50" s="9" t="s">
        <v>0</v>
      </c>
      <c r="C50" s="10" t="s">
        <v>33</v>
      </c>
      <c r="D50" s="19" t="s">
        <v>30</v>
      </c>
      <c r="E50" s="20" t="s">
        <v>154</v>
      </c>
      <c r="F50" s="5" t="s">
        <v>155</v>
      </c>
      <c r="G50" s="34">
        <v>960694</v>
      </c>
      <c r="H50" s="22">
        <v>850000</v>
      </c>
      <c r="I50" s="16">
        <f>Table13[[#This Row],[Publish Rate]]-Table13[[#This Row],[Offering Corporate Rate 2026]]</f>
        <v>110694</v>
      </c>
      <c r="J50" s="17" t="str">
        <f>IF(Table13[[#This Row],[Nilai Selisih]]&gt;100000,"Recommend","Revise")</f>
        <v>Recommend</v>
      </c>
      <c r="K50" s="17" t="s">
        <v>3</v>
      </c>
      <c r="L50" s="19" t="s">
        <v>37</v>
      </c>
      <c r="M50" s="18" t="s">
        <v>3</v>
      </c>
    </row>
    <row r="51" spans="1:13" ht="14" customHeight="1" x14ac:dyDescent="0.3">
      <c r="A51" s="9">
        <v>1</v>
      </c>
      <c r="B51" s="9" t="s">
        <v>0</v>
      </c>
      <c r="C51" s="10" t="s">
        <v>33</v>
      </c>
      <c r="D51" s="19" t="s">
        <v>1808</v>
      </c>
      <c r="E51" s="20" t="s">
        <v>156</v>
      </c>
      <c r="F51" s="5" t="s">
        <v>157</v>
      </c>
      <c r="G51" s="34">
        <v>2954215</v>
      </c>
      <c r="H51" s="22">
        <v>1210000</v>
      </c>
      <c r="I51" s="16">
        <f>Table13[[#This Row],[Publish Rate]]-Table13[[#This Row],[Offering Corporate Rate 2026]]</f>
        <v>1744215</v>
      </c>
      <c r="J51" s="17" t="str">
        <f>IF(Table13[[#This Row],[Nilai Selisih]]&gt;100000,"Recommend","Revise")</f>
        <v>Recommend</v>
      </c>
      <c r="K51" s="17" t="s">
        <v>3</v>
      </c>
      <c r="L51" s="19" t="s">
        <v>37</v>
      </c>
      <c r="M51" s="18" t="s">
        <v>3</v>
      </c>
    </row>
    <row r="52" spans="1:13" s="43" customFormat="1" ht="14" customHeight="1" x14ac:dyDescent="0.3">
      <c r="A52" s="9">
        <v>1</v>
      </c>
      <c r="B52" s="9" t="s">
        <v>0</v>
      </c>
      <c r="C52" s="36" t="s">
        <v>33</v>
      </c>
      <c r="D52" s="37" t="s">
        <v>1808</v>
      </c>
      <c r="E52" s="38" t="s">
        <v>158</v>
      </c>
      <c r="F52" s="7" t="s">
        <v>159</v>
      </c>
      <c r="G52" s="39">
        <v>2454182</v>
      </c>
      <c r="H52" s="40">
        <v>1525600</v>
      </c>
      <c r="I52" s="41">
        <f>Table13[[#This Row],[Publish Rate]]-Table13[[#This Row],[Offering Corporate Rate 2026]]</f>
        <v>928582</v>
      </c>
      <c r="J52" s="42" t="str">
        <f>IF(Table13[[#This Row],[Nilai Selisih]]&gt;100000,"Recommend","Revise")</f>
        <v>Recommend</v>
      </c>
      <c r="K52" s="17" t="s">
        <v>3</v>
      </c>
      <c r="L52" s="37" t="s">
        <v>1830</v>
      </c>
      <c r="M52" s="43" t="s">
        <v>3</v>
      </c>
    </row>
    <row r="53" spans="1:13" ht="14" customHeight="1" x14ac:dyDescent="0.3">
      <c r="A53" s="9">
        <v>1</v>
      </c>
      <c r="B53" s="9" t="s">
        <v>0</v>
      </c>
      <c r="C53" s="10" t="s">
        <v>33</v>
      </c>
      <c r="D53" s="19" t="s">
        <v>1268</v>
      </c>
      <c r="E53" s="20" t="s">
        <v>160</v>
      </c>
      <c r="F53" s="1" t="s">
        <v>161</v>
      </c>
      <c r="G53" s="34">
        <v>2062307</v>
      </c>
      <c r="H53" s="22">
        <v>1200000</v>
      </c>
      <c r="I53" s="16">
        <f>Table13[[#This Row],[Publish Rate]]-Table13[[#This Row],[Offering Corporate Rate 2026]]</f>
        <v>862307</v>
      </c>
      <c r="J53" s="17" t="str">
        <f>IF(Table13[[#This Row],[Nilai Selisih]]&gt;100000,"Recommend","Revise")</f>
        <v>Recommend</v>
      </c>
      <c r="K53" s="17" t="s">
        <v>3</v>
      </c>
      <c r="L53" s="19" t="s">
        <v>162</v>
      </c>
      <c r="M53" s="18" t="s">
        <v>3</v>
      </c>
    </row>
    <row r="54" spans="1:13" ht="14" customHeight="1" x14ac:dyDescent="0.3">
      <c r="A54" s="9">
        <v>1</v>
      </c>
      <c r="B54" s="9" t="s">
        <v>0</v>
      </c>
      <c r="C54" s="10" t="s">
        <v>33</v>
      </c>
      <c r="D54" s="19" t="s">
        <v>1806</v>
      </c>
      <c r="E54" s="20" t="s">
        <v>163</v>
      </c>
      <c r="F54" s="1" t="s">
        <v>164</v>
      </c>
      <c r="G54" s="34">
        <v>1494350</v>
      </c>
      <c r="H54" s="22">
        <v>1331000</v>
      </c>
      <c r="I54" s="16">
        <f>Table13[[#This Row],[Publish Rate]]-Table13[[#This Row],[Offering Corporate Rate 2026]]</f>
        <v>163350</v>
      </c>
      <c r="J54" s="17" t="str">
        <f>IF(Table13[[#This Row],[Nilai Selisih]]&gt;100000,"Recommend","Revise")</f>
        <v>Recommend</v>
      </c>
      <c r="K54" s="17" t="s">
        <v>3</v>
      </c>
      <c r="L54" s="19" t="s">
        <v>165</v>
      </c>
      <c r="M54" s="18" t="s">
        <v>3</v>
      </c>
    </row>
    <row r="55" spans="1:13" ht="14" customHeight="1" x14ac:dyDescent="0.3">
      <c r="A55" s="9">
        <v>1</v>
      </c>
      <c r="B55" s="9" t="s">
        <v>0</v>
      </c>
      <c r="C55" s="10" t="s">
        <v>33</v>
      </c>
      <c r="D55" s="19" t="s">
        <v>1808</v>
      </c>
      <c r="E55" s="20" t="s">
        <v>166</v>
      </c>
      <c r="F55" s="1" t="s">
        <v>167</v>
      </c>
      <c r="G55" s="34">
        <v>2982952</v>
      </c>
      <c r="H55" s="22">
        <v>1936000</v>
      </c>
      <c r="I55" s="16">
        <f>Table13[[#This Row],[Publish Rate]]-Table13[[#This Row],[Offering Corporate Rate 2026]]</f>
        <v>1046952</v>
      </c>
      <c r="J55" s="17" t="str">
        <f>IF(Table13[[#This Row],[Nilai Selisih]]&gt;100000,"Recommend","Revise")</f>
        <v>Recommend</v>
      </c>
      <c r="K55" s="17" t="s">
        <v>3</v>
      </c>
      <c r="L55" s="19" t="s">
        <v>168</v>
      </c>
      <c r="M55" s="18" t="s">
        <v>3</v>
      </c>
    </row>
    <row r="56" spans="1:13" ht="14" customHeight="1" x14ac:dyDescent="0.3">
      <c r="A56" s="9">
        <v>1</v>
      </c>
      <c r="B56" s="9" t="s">
        <v>0</v>
      </c>
      <c r="C56" s="10" t="s">
        <v>33</v>
      </c>
      <c r="D56" s="19" t="s">
        <v>1008</v>
      </c>
      <c r="E56" s="20" t="s">
        <v>169</v>
      </c>
      <c r="F56" s="1" t="s">
        <v>170</v>
      </c>
      <c r="G56" s="34">
        <v>1420249</v>
      </c>
      <c r="H56" s="22">
        <v>1263699</v>
      </c>
      <c r="I56" s="16">
        <f>Table13[[#This Row],[Publish Rate]]-Table13[[#This Row],[Offering Corporate Rate 2026]]</f>
        <v>156550</v>
      </c>
      <c r="J56" s="17" t="str">
        <f>IF(Table13[[#This Row],[Nilai Selisih]]&gt;100000,"Recommend","Revise")</f>
        <v>Recommend</v>
      </c>
      <c r="K56" s="17" t="s">
        <v>3</v>
      </c>
      <c r="L56" s="19" t="s">
        <v>125</v>
      </c>
      <c r="M56" s="18" t="s">
        <v>3</v>
      </c>
    </row>
    <row r="57" spans="1:13" ht="14" customHeight="1" x14ac:dyDescent="0.3">
      <c r="A57" s="9">
        <v>1</v>
      </c>
      <c r="B57" s="9" t="s">
        <v>0</v>
      </c>
      <c r="C57" s="10" t="s">
        <v>33</v>
      </c>
      <c r="D57" s="19" t="s">
        <v>1813</v>
      </c>
      <c r="E57" s="20" t="s">
        <v>171</v>
      </c>
      <c r="F57" s="1" t="s">
        <v>172</v>
      </c>
      <c r="G57" s="34">
        <v>828788</v>
      </c>
      <c r="H57" s="22">
        <v>785000</v>
      </c>
      <c r="I57" s="16">
        <f>Table13[[#This Row],[Publish Rate]]-Table13[[#This Row],[Offering Corporate Rate 2026]]</f>
        <v>43788</v>
      </c>
      <c r="J57" s="17" t="str">
        <f>IF(Table13[[#This Row],[Nilai Selisih]]&gt;100000,"Recommend","Revise")</f>
        <v>Revise</v>
      </c>
      <c r="K57" s="17" t="s">
        <v>3</v>
      </c>
      <c r="L57" s="19" t="s">
        <v>37</v>
      </c>
      <c r="M57" s="18" t="s">
        <v>3</v>
      </c>
    </row>
    <row r="58" spans="1:13" ht="14" customHeight="1" x14ac:dyDescent="0.3">
      <c r="A58" s="9">
        <v>1</v>
      </c>
      <c r="B58" s="9" t="s">
        <v>0</v>
      </c>
      <c r="C58" s="10" t="s">
        <v>33</v>
      </c>
      <c r="D58" s="19" t="s">
        <v>724</v>
      </c>
      <c r="E58" s="20" t="s">
        <v>173</v>
      </c>
      <c r="F58" s="1" t="s">
        <v>174</v>
      </c>
      <c r="G58" s="34">
        <v>919600</v>
      </c>
      <c r="H58" s="22">
        <v>1000000</v>
      </c>
      <c r="I58" s="16">
        <f>Table13[[#This Row],[Publish Rate]]-Table13[[#This Row],[Offering Corporate Rate 2026]]</f>
        <v>-80400</v>
      </c>
      <c r="J58" s="17" t="str">
        <f>IF(Table13[[#This Row],[Nilai Selisih]]&gt;100000,"Recommend","Revise")</f>
        <v>Revise</v>
      </c>
      <c r="K58" s="17" t="s">
        <v>3</v>
      </c>
      <c r="L58" s="19" t="s">
        <v>162</v>
      </c>
      <c r="M58" s="18" t="s">
        <v>3</v>
      </c>
    </row>
    <row r="59" spans="1:13" ht="14" customHeight="1" x14ac:dyDescent="0.3">
      <c r="A59" s="9">
        <v>1</v>
      </c>
      <c r="B59" s="9" t="s">
        <v>0</v>
      </c>
      <c r="C59" s="10" t="s">
        <v>33</v>
      </c>
      <c r="D59" s="19" t="s">
        <v>1808</v>
      </c>
      <c r="E59" s="20" t="s">
        <v>175</v>
      </c>
      <c r="F59" s="1" t="s">
        <v>176</v>
      </c>
      <c r="G59" s="34">
        <v>1014600</v>
      </c>
      <c r="H59" s="22">
        <v>980000</v>
      </c>
      <c r="I59" s="16">
        <f>Table13[[#This Row],[Publish Rate]]-Table13[[#This Row],[Offering Corporate Rate 2026]]</f>
        <v>34600</v>
      </c>
      <c r="J59" s="17" t="str">
        <f>IF(Table13[[#This Row],[Nilai Selisih]]&gt;100000,"Recommend","Revise")</f>
        <v>Revise</v>
      </c>
      <c r="K59" s="17" t="s">
        <v>3</v>
      </c>
      <c r="L59" s="19" t="s">
        <v>48</v>
      </c>
      <c r="M59" s="18" t="s">
        <v>3</v>
      </c>
    </row>
    <row r="60" spans="1:13" ht="14" customHeight="1" x14ac:dyDescent="0.3">
      <c r="A60" s="9">
        <v>1</v>
      </c>
      <c r="B60" s="9" t="s">
        <v>0</v>
      </c>
      <c r="C60" s="10" t="s">
        <v>33</v>
      </c>
      <c r="D60" s="19" t="s">
        <v>724</v>
      </c>
      <c r="E60" s="20" t="s">
        <v>177</v>
      </c>
      <c r="F60" s="1" t="s">
        <v>178</v>
      </c>
      <c r="G60" s="34">
        <v>664411</v>
      </c>
      <c r="H60" s="22">
        <v>600000</v>
      </c>
      <c r="I60" s="16">
        <f>Table13[[#This Row],[Publish Rate]]-Table13[[#This Row],[Offering Corporate Rate 2026]]</f>
        <v>64411</v>
      </c>
      <c r="J60" s="17" t="str">
        <f>IF(Table13[[#This Row],[Nilai Selisih]]&gt;100000,"Recommend","Revise")</f>
        <v>Revise</v>
      </c>
      <c r="K60" s="17" t="s">
        <v>3</v>
      </c>
      <c r="L60" s="19" t="s">
        <v>179</v>
      </c>
      <c r="M60" s="18" t="s">
        <v>3</v>
      </c>
    </row>
    <row r="61" spans="1:13" ht="14" customHeight="1" x14ac:dyDescent="0.3">
      <c r="A61" s="9">
        <v>1</v>
      </c>
      <c r="B61" s="9" t="s">
        <v>0</v>
      </c>
      <c r="C61" s="10" t="s">
        <v>33</v>
      </c>
      <c r="D61" s="19" t="s">
        <v>1269</v>
      </c>
      <c r="E61" s="20" t="s">
        <v>180</v>
      </c>
      <c r="F61" s="1" t="s">
        <v>181</v>
      </c>
      <c r="G61" s="34">
        <v>683999</v>
      </c>
      <c r="H61" s="22">
        <v>720000</v>
      </c>
      <c r="I61" s="16">
        <f>Table13[[#This Row],[Publish Rate]]-Table13[[#This Row],[Offering Corporate Rate 2026]]</f>
        <v>-36001</v>
      </c>
      <c r="J61" s="17" t="str">
        <f>IF(Table13[[#This Row],[Nilai Selisih]]&gt;100000,"Recommend","Revise")</f>
        <v>Revise</v>
      </c>
      <c r="K61" s="17" t="s">
        <v>3</v>
      </c>
      <c r="L61" s="19" t="s">
        <v>81</v>
      </c>
      <c r="M61" s="18" t="s">
        <v>3</v>
      </c>
    </row>
    <row r="62" spans="1:13" ht="14" customHeight="1" x14ac:dyDescent="0.3">
      <c r="A62" s="9">
        <v>1</v>
      </c>
      <c r="B62" s="9" t="s">
        <v>0</v>
      </c>
      <c r="C62" s="10" t="s">
        <v>33</v>
      </c>
      <c r="D62" s="19" t="s">
        <v>1269</v>
      </c>
      <c r="E62" s="20" t="s">
        <v>182</v>
      </c>
      <c r="F62" s="1" t="s">
        <v>181</v>
      </c>
      <c r="G62" s="34">
        <v>759998</v>
      </c>
      <c r="H62" s="22">
        <v>708000</v>
      </c>
      <c r="I62" s="16">
        <f>Table13[[#This Row],[Publish Rate]]-Table13[[#This Row],[Offering Corporate Rate 2026]]</f>
        <v>51998</v>
      </c>
      <c r="J62" s="17" t="str">
        <f>IF(Table13[[#This Row],[Nilai Selisih]]&gt;100000,"Recommend","Revise")</f>
        <v>Revise</v>
      </c>
      <c r="K62" s="17" t="s">
        <v>3</v>
      </c>
      <c r="L62" s="19" t="s">
        <v>81</v>
      </c>
      <c r="M62" s="18" t="s">
        <v>3</v>
      </c>
    </row>
    <row r="63" spans="1:13" ht="14" customHeight="1" x14ac:dyDescent="0.3">
      <c r="A63" s="9">
        <v>1</v>
      </c>
      <c r="B63" s="9" t="s">
        <v>0</v>
      </c>
      <c r="C63" s="10" t="s">
        <v>33</v>
      </c>
      <c r="D63" s="19" t="s">
        <v>1269</v>
      </c>
      <c r="E63" s="20" t="s">
        <v>183</v>
      </c>
      <c r="F63" s="1" t="s">
        <v>181</v>
      </c>
      <c r="G63" s="34">
        <v>569352</v>
      </c>
      <c r="H63" s="22">
        <v>520000</v>
      </c>
      <c r="I63" s="16">
        <f>Table13[[#This Row],[Publish Rate]]-Table13[[#This Row],[Offering Corporate Rate 2026]]</f>
        <v>49352</v>
      </c>
      <c r="J63" s="17" t="str">
        <f>IF(Table13[[#This Row],[Nilai Selisih]]&gt;100000,"Recommend","Revise")</f>
        <v>Revise</v>
      </c>
      <c r="K63" s="17" t="s">
        <v>3</v>
      </c>
      <c r="L63" s="19" t="s">
        <v>117</v>
      </c>
      <c r="M63" s="18" t="s">
        <v>3</v>
      </c>
    </row>
    <row r="64" spans="1:13" ht="14" customHeight="1" x14ac:dyDescent="0.3">
      <c r="A64" s="9">
        <v>1</v>
      </c>
      <c r="B64" s="9" t="s">
        <v>0</v>
      </c>
      <c r="C64" s="10" t="s">
        <v>33</v>
      </c>
      <c r="D64" s="44" t="s">
        <v>1814</v>
      </c>
      <c r="E64" s="45" t="s">
        <v>184</v>
      </c>
      <c r="F64" s="1" t="s">
        <v>185</v>
      </c>
      <c r="G64" s="34">
        <v>1747240</v>
      </c>
      <c r="H64" s="46">
        <v>1250000</v>
      </c>
      <c r="I64" s="16">
        <f>Table13[[#This Row],[Publish Rate]]-Table13[[#This Row],[Offering Corporate Rate 2026]]</f>
        <v>497240</v>
      </c>
      <c r="J64" s="17" t="str">
        <f>IF(Table13[[#This Row],[Nilai Selisih]]&gt;100000,"Recommend","Revise")</f>
        <v>Recommend</v>
      </c>
      <c r="K64" s="17" t="s">
        <v>3</v>
      </c>
      <c r="L64" s="44" t="s">
        <v>100</v>
      </c>
      <c r="M64" s="18" t="s">
        <v>3</v>
      </c>
    </row>
    <row r="65" spans="1:13" ht="14" customHeight="1" x14ac:dyDescent="0.3">
      <c r="A65" s="9">
        <v>1</v>
      </c>
      <c r="B65" s="9" t="s">
        <v>0</v>
      </c>
      <c r="C65" s="10" t="s">
        <v>186</v>
      </c>
      <c r="D65" s="10" t="s">
        <v>1809</v>
      </c>
      <c r="E65" s="18" t="s">
        <v>187</v>
      </c>
      <c r="F65" s="47" t="s">
        <v>188</v>
      </c>
      <c r="G65" s="16">
        <v>1008000</v>
      </c>
      <c r="H65" s="16">
        <v>750000</v>
      </c>
      <c r="I65" s="16">
        <f>Table13[[#This Row],[Publish Rate]]-Table13[[#This Row],[Offering Corporate Rate 2026]]</f>
        <v>258000</v>
      </c>
      <c r="J65" s="17" t="str">
        <f>IF(Table13[[#This Row],[Nilai Selisih]]&gt;100000,"Recommend","Revise")</f>
        <v>Recommend</v>
      </c>
      <c r="K65" s="17" t="s">
        <v>3</v>
      </c>
      <c r="L65" s="10" t="s">
        <v>189</v>
      </c>
      <c r="M65" s="18" t="s">
        <v>3</v>
      </c>
    </row>
    <row r="66" spans="1:13" ht="14" customHeight="1" x14ac:dyDescent="0.3">
      <c r="A66" s="9">
        <v>1</v>
      </c>
      <c r="B66" s="9" t="s">
        <v>0</v>
      </c>
      <c r="C66" s="10" t="s">
        <v>186</v>
      </c>
      <c r="D66" s="10" t="s">
        <v>1808</v>
      </c>
      <c r="E66" s="18" t="s">
        <v>190</v>
      </c>
      <c r="F66" s="47" t="s">
        <v>188</v>
      </c>
      <c r="G66" s="34">
        <v>1176000</v>
      </c>
      <c r="H66" s="16">
        <v>900000</v>
      </c>
      <c r="I66" s="16">
        <f>Table13[[#This Row],[Publish Rate]]-Table13[[#This Row],[Offering Corporate Rate 2026]]</f>
        <v>276000</v>
      </c>
      <c r="J66" s="17" t="str">
        <f>IF(Table13[[#This Row],[Nilai Selisih]]&gt;100000,"Recommend","Revise")</f>
        <v>Recommend</v>
      </c>
      <c r="K66" s="17" t="s">
        <v>3</v>
      </c>
      <c r="L66" s="48" t="s">
        <v>191</v>
      </c>
      <c r="M66" s="18" t="s">
        <v>3</v>
      </c>
    </row>
    <row r="67" spans="1:13" ht="14" customHeight="1" x14ac:dyDescent="0.3">
      <c r="A67" s="9">
        <v>1</v>
      </c>
      <c r="B67" s="9" t="s">
        <v>0</v>
      </c>
      <c r="C67" s="10" t="s">
        <v>186</v>
      </c>
      <c r="D67" s="10" t="s">
        <v>1808</v>
      </c>
      <c r="E67" s="18" t="s">
        <v>192</v>
      </c>
      <c r="F67" s="47" t="s">
        <v>188</v>
      </c>
      <c r="G67" s="49">
        <v>1176000</v>
      </c>
      <c r="H67" s="16">
        <v>1000000</v>
      </c>
      <c r="I67" s="16">
        <f>Table13[[#This Row],[Publish Rate]]-Table13[[#This Row],[Offering Corporate Rate 2026]]</f>
        <v>176000</v>
      </c>
      <c r="J67" s="17" t="str">
        <f>IF(Table13[[#This Row],[Nilai Selisih]]&gt;100000,"Recommend","Revise")</f>
        <v>Recommend</v>
      </c>
      <c r="K67" s="17" t="s">
        <v>3</v>
      </c>
      <c r="L67" s="48" t="s">
        <v>193</v>
      </c>
      <c r="M67" s="18" t="s">
        <v>3</v>
      </c>
    </row>
    <row r="68" spans="1:13" ht="14" customHeight="1" x14ac:dyDescent="0.3">
      <c r="A68" s="9">
        <v>1</v>
      </c>
      <c r="B68" s="9" t="s">
        <v>0</v>
      </c>
      <c r="C68" s="10" t="s">
        <v>186</v>
      </c>
      <c r="D68" s="10" t="s">
        <v>1008</v>
      </c>
      <c r="E68" s="18" t="s">
        <v>194</v>
      </c>
      <c r="F68" s="47" t="s">
        <v>188</v>
      </c>
      <c r="G68" s="49">
        <v>1108445</v>
      </c>
      <c r="H68" s="16">
        <v>995000</v>
      </c>
      <c r="I68" s="16">
        <f>Table13[[#This Row],[Publish Rate]]-Table13[[#This Row],[Offering Corporate Rate 2026]]</f>
        <v>113445</v>
      </c>
      <c r="J68" s="17" t="str">
        <f>IF(Table13[[#This Row],[Nilai Selisih]]&gt;100000,"Recommend","Revise")</f>
        <v>Recommend</v>
      </c>
      <c r="K68" s="17" t="s">
        <v>3</v>
      </c>
      <c r="L68" s="10" t="s">
        <v>195</v>
      </c>
      <c r="M68" s="18" t="s">
        <v>3</v>
      </c>
    </row>
    <row r="69" spans="1:13" ht="14" customHeight="1" x14ac:dyDescent="0.3">
      <c r="A69" s="9">
        <v>1</v>
      </c>
      <c r="B69" s="9" t="s">
        <v>0</v>
      </c>
      <c r="C69" s="10" t="s">
        <v>186</v>
      </c>
      <c r="D69" s="10" t="s">
        <v>1812</v>
      </c>
      <c r="E69" s="10" t="s">
        <v>196</v>
      </c>
      <c r="F69" s="47" t="s">
        <v>188</v>
      </c>
      <c r="G69" s="49">
        <v>842800</v>
      </c>
      <c r="H69" s="16">
        <v>790000</v>
      </c>
      <c r="I69" s="16">
        <f>Table13[[#This Row],[Publish Rate]]-Table13[[#This Row],[Offering Corporate Rate 2026]]</f>
        <v>52800</v>
      </c>
      <c r="J69" s="17" t="str">
        <f>IF(Table13[[#This Row],[Nilai Selisih]]&gt;100000,"Recommend","Revise")</f>
        <v>Revise</v>
      </c>
      <c r="K69" s="17" t="s">
        <v>3</v>
      </c>
      <c r="L69" s="48" t="s">
        <v>191</v>
      </c>
      <c r="M69" s="18" t="s">
        <v>3</v>
      </c>
    </row>
    <row r="70" spans="1:13" ht="14" customHeight="1" x14ac:dyDescent="0.3">
      <c r="A70" s="9">
        <v>1</v>
      </c>
      <c r="B70" s="9" t="s">
        <v>0</v>
      </c>
      <c r="C70" s="10" t="s">
        <v>186</v>
      </c>
      <c r="D70" s="10" t="s">
        <v>1530</v>
      </c>
      <c r="E70" s="10" t="s">
        <v>197</v>
      </c>
      <c r="F70" s="47" t="s">
        <v>188</v>
      </c>
      <c r="G70" s="49">
        <v>746667</v>
      </c>
      <c r="H70" s="16">
        <v>680000</v>
      </c>
      <c r="I70" s="16">
        <f>Table13[[#This Row],[Publish Rate]]-Table13[[#This Row],[Offering Corporate Rate 2026]]</f>
        <v>66667</v>
      </c>
      <c r="J70" s="17" t="str">
        <f>IF(Table13[[#This Row],[Nilai Selisih]]&gt;100000,"Recommend","Revise")</f>
        <v>Revise</v>
      </c>
      <c r="K70" s="17" t="s">
        <v>3</v>
      </c>
      <c r="L70" s="48" t="s">
        <v>191</v>
      </c>
      <c r="M70" s="18" t="s">
        <v>3</v>
      </c>
    </row>
    <row r="71" spans="1:13" ht="14" customHeight="1" x14ac:dyDescent="0.3">
      <c r="A71" s="9">
        <v>1</v>
      </c>
      <c r="B71" s="9" t="s">
        <v>0</v>
      </c>
      <c r="C71" s="10" t="s">
        <v>186</v>
      </c>
      <c r="D71" s="10" t="s">
        <v>1809</v>
      </c>
      <c r="E71" s="10" t="s">
        <v>198</v>
      </c>
      <c r="F71" s="47" t="s">
        <v>188</v>
      </c>
      <c r="G71" s="49">
        <v>970667</v>
      </c>
      <c r="H71" s="16">
        <v>870000</v>
      </c>
      <c r="I71" s="16">
        <f>Table13[[#This Row],[Publish Rate]]-Table13[[#This Row],[Offering Corporate Rate 2026]]</f>
        <v>100667</v>
      </c>
      <c r="J71" s="17" t="str">
        <f>IF(Table13[[#This Row],[Nilai Selisih]]&gt;100000,"Recommend","Revise")</f>
        <v>Recommend</v>
      </c>
      <c r="K71" s="17" t="s">
        <v>3</v>
      </c>
      <c r="L71" s="10" t="s">
        <v>195</v>
      </c>
      <c r="M71" s="18" t="s">
        <v>3</v>
      </c>
    </row>
    <row r="72" spans="1:13" ht="14" customHeight="1" x14ac:dyDescent="0.3">
      <c r="A72" s="9">
        <v>1</v>
      </c>
      <c r="B72" s="9" t="s">
        <v>0</v>
      </c>
      <c r="C72" s="10" t="s">
        <v>186</v>
      </c>
      <c r="D72" s="10" t="s">
        <v>1565</v>
      </c>
      <c r="E72" s="10" t="s">
        <v>199</v>
      </c>
      <c r="F72" s="47" t="s">
        <v>188</v>
      </c>
      <c r="G72" s="49">
        <v>702285</v>
      </c>
      <c r="H72" s="16">
        <v>630000</v>
      </c>
      <c r="I72" s="16">
        <f>Table13[[#This Row],[Publish Rate]]-Table13[[#This Row],[Offering Corporate Rate 2026]]</f>
        <v>72285</v>
      </c>
      <c r="J72" s="17" t="str">
        <f>IF(Table13[[#This Row],[Nilai Selisih]]&gt;100000,"Recommend","Revise")</f>
        <v>Revise</v>
      </c>
      <c r="K72" s="17" t="s">
        <v>3</v>
      </c>
      <c r="L72" s="10" t="s">
        <v>195</v>
      </c>
      <c r="M72" s="18" t="s">
        <v>3</v>
      </c>
    </row>
    <row r="73" spans="1:13" ht="14" customHeight="1" x14ac:dyDescent="0.3">
      <c r="A73" s="9">
        <v>1</v>
      </c>
      <c r="B73" s="9" t="s">
        <v>0</v>
      </c>
      <c r="C73" s="10" t="s">
        <v>186</v>
      </c>
      <c r="D73" s="10" t="s">
        <v>724</v>
      </c>
      <c r="E73" s="10" t="s">
        <v>200</v>
      </c>
      <c r="F73" s="47" t="s">
        <v>188</v>
      </c>
      <c r="G73" s="49">
        <v>1176000</v>
      </c>
      <c r="H73" s="16">
        <v>850000</v>
      </c>
      <c r="I73" s="16">
        <f>Table13[[#This Row],[Publish Rate]]-Table13[[#This Row],[Offering Corporate Rate 2026]]</f>
        <v>326000</v>
      </c>
      <c r="J73" s="17" t="str">
        <f>IF(Table13[[#This Row],[Nilai Selisih]]&gt;100000,"Recommend","Revise")</f>
        <v>Recommend</v>
      </c>
      <c r="K73" s="17" t="s">
        <v>3</v>
      </c>
      <c r="L73" s="48" t="s">
        <v>201</v>
      </c>
      <c r="M73" s="18" t="s">
        <v>3</v>
      </c>
    </row>
    <row r="74" spans="1:13" ht="14" customHeight="1" x14ac:dyDescent="0.3">
      <c r="A74" s="9">
        <v>1</v>
      </c>
      <c r="B74" s="9" t="s">
        <v>0</v>
      </c>
      <c r="C74" s="10" t="s">
        <v>186</v>
      </c>
      <c r="D74" s="10" t="s">
        <v>30</v>
      </c>
      <c r="E74" s="10" t="s">
        <v>202</v>
      </c>
      <c r="F74" s="47" t="s">
        <v>188</v>
      </c>
      <c r="G74" s="49">
        <v>1736000</v>
      </c>
      <c r="H74" s="16">
        <v>1400000</v>
      </c>
      <c r="I74" s="16">
        <f>Table13[[#This Row],[Publish Rate]]-Table13[[#This Row],[Offering Corporate Rate 2026]]</f>
        <v>336000</v>
      </c>
      <c r="J74" s="17" t="str">
        <f>IF(Table13[[#This Row],[Nilai Selisih]]&gt;100000,"Recommend","Revise")</f>
        <v>Recommend</v>
      </c>
      <c r="K74" s="17" t="s">
        <v>3</v>
      </c>
      <c r="L74" s="48" t="s">
        <v>191</v>
      </c>
      <c r="M74" s="18" t="s">
        <v>3</v>
      </c>
    </row>
    <row r="75" spans="1:13" ht="14" customHeight="1" x14ac:dyDescent="0.3">
      <c r="A75" s="9">
        <v>1</v>
      </c>
      <c r="B75" s="9" t="s">
        <v>0</v>
      </c>
      <c r="C75" s="10" t="s">
        <v>186</v>
      </c>
      <c r="D75" s="10" t="s">
        <v>1813</v>
      </c>
      <c r="E75" s="10" t="s">
        <v>203</v>
      </c>
      <c r="F75" s="47" t="s">
        <v>188</v>
      </c>
      <c r="G75" s="49">
        <v>1200000</v>
      </c>
      <c r="H75" s="16">
        <v>856000</v>
      </c>
      <c r="I75" s="16">
        <f>Table13[[#This Row],[Publish Rate]]-Table13[[#This Row],[Offering Corporate Rate 2026]]</f>
        <v>344000</v>
      </c>
      <c r="J75" s="17" t="str">
        <f>IF(Table13[[#This Row],[Nilai Selisih]]&gt;100000,"Recommend","Revise")</f>
        <v>Recommend</v>
      </c>
      <c r="K75" s="17" t="s">
        <v>3</v>
      </c>
      <c r="L75" s="48" t="s">
        <v>191</v>
      </c>
      <c r="M75" s="18" t="s">
        <v>3</v>
      </c>
    </row>
    <row r="76" spans="1:13" ht="14" customHeight="1" x14ac:dyDescent="0.3">
      <c r="A76" s="9">
        <v>1</v>
      </c>
      <c r="B76" s="9" t="s">
        <v>0</v>
      </c>
      <c r="C76" s="10" t="s">
        <v>12</v>
      </c>
      <c r="D76" s="10" t="s">
        <v>30</v>
      </c>
      <c r="E76" s="10" t="s">
        <v>204</v>
      </c>
      <c r="F76" s="47" t="s">
        <v>205</v>
      </c>
      <c r="G76" s="49">
        <v>1161600</v>
      </c>
      <c r="H76" s="16">
        <v>996000</v>
      </c>
      <c r="I76" s="16">
        <f>Table13[[#This Row],[Publish Rate]]-Table13[[#This Row],[Offering Corporate Rate 2026]]</f>
        <v>165600</v>
      </c>
      <c r="J76" s="17" t="str">
        <f>IF(Table13[[#This Row],[Nilai Selisih]]&gt;100000,"Recommend","Revise")</f>
        <v>Recommend</v>
      </c>
      <c r="K76" s="17" t="s">
        <v>3</v>
      </c>
      <c r="L76" s="10" t="s">
        <v>206</v>
      </c>
      <c r="M76" s="18" t="s">
        <v>3</v>
      </c>
    </row>
    <row r="77" spans="1:13" ht="14" customHeight="1" x14ac:dyDescent="0.3">
      <c r="A77" s="9">
        <v>1</v>
      </c>
      <c r="B77" s="9" t="s">
        <v>0</v>
      </c>
      <c r="C77" s="10" t="s">
        <v>12</v>
      </c>
      <c r="D77" s="10" t="s">
        <v>30</v>
      </c>
      <c r="E77" s="10" t="s">
        <v>207</v>
      </c>
      <c r="F77" s="47" t="s">
        <v>208</v>
      </c>
      <c r="G77" s="49">
        <v>980000</v>
      </c>
      <c r="H77" s="16">
        <v>800000</v>
      </c>
      <c r="I77" s="16">
        <f>Table13[[#This Row],[Publish Rate]]-Table13[[#This Row],[Offering Corporate Rate 2026]]</f>
        <v>180000</v>
      </c>
      <c r="J77" s="17" t="str">
        <f>IF(Table13[[#This Row],[Nilai Selisih]]&gt;100000,"Recommend","Revise")</f>
        <v>Recommend</v>
      </c>
      <c r="K77" s="17" t="s">
        <v>3</v>
      </c>
      <c r="L77" s="10" t="s">
        <v>209</v>
      </c>
      <c r="M77" s="18" t="s">
        <v>3</v>
      </c>
    </row>
    <row r="78" spans="1:13" ht="14" customHeight="1" x14ac:dyDescent="0.3">
      <c r="A78" s="9">
        <v>1</v>
      </c>
      <c r="B78" s="9" t="s">
        <v>0</v>
      </c>
      <c r="C78" s="10" t="s">
        <v>12</v>
      </c>
      <c r="D78" s="10" t="s">
        <v>30</v>
      </c>
      <c r="E78" s="10" t="s">
        <v>210</v>
      </c>
      <c r="F78" s="47" t="s">
        <v>211</v>
      </c>
      <c r="G78" s="49">
        <v>648000</v>
      </c>
      <c r="H78" s="16">
        <v>498000</v>
      </c>
      <c r="I78" s="16">
        <f>Table13[[#This Row],[Publish Rate]]-Table13[[#This Row],[Offering Corporate Rate 2026]]</f>
        <v>150000</v>
      </c>
      <c r="J78" s="17" t="str">
        <f>IF(Table13[[#This Row],[Nilai Selisih]]&gt;100000,"Recommend","Revise")</f>
        <v>Recommend</v>
      </c>
      <c r="K78" s="17" t="s">
        <v>3</v>
      </c>
      <c r="L78" s="10" t="s">
        <v>212</v>
      </c>
      <c r="M78" s="18" t="s">
        <v>3</v>
      </c>
    </row>
    <row r="79" spans="1:13" s="51" customFormat="1" ht="14" customHeight="1" x14ac:dyDescent="0.3">
      <c r="A79" s="9">
        <v>1</v>
      </c>
      <c r="B79" s="9" t="s">
        <v>0</v>
      </c>
      <c r="C79" s="10" t="s">
        <v>12</v>
      </c>
      <c r="D79" s="10" t="s">
        <v>30</v>
      </c>
      <c r="E79" s="10" t="s">
        <v>213</v>
      </c>
      <c r="F79" s="47" t="s">
        <v>214</v>
      </c>
      <c r="G79" s="50">
        <v>736000</v>
      </c>
      <c r="H79" s="16">
        <v>692000</v>
      </c>
      <c r="I79" s="16">
        <f>Table13[[#This Row],[Publish Rate]]-Table13[[#This Row],[Offering Corporate Rate 2026]]</f>
        <v>44000</v>
      </c>
      <c r="J79" s="17" t="str">
        <f>IF(Table13[[#This Row],[Nilai Selisih]]&gt;100000,"Recommend","Revise")</f>
        <v>Revise</v>
      </c>
      <c r="K79" s="17" t="s">
        <v>3</v>
      </c>
      <c r="L79" s="10" t="s">
        <v>215</v>
      </c>
      <c r="M79" s="18" t="s">
        <v>3</v>
      </c>
    </row>
    <row r="80" spans="1:13" ht="14" customHeight="1" x14ac:dyDescent="0.3">
      <c r="A80" s="9">
        <v>1</v>
      </c>
      <c r="B80" s="9" t="s">
        <v>0</v>
      </c>
      <c r="C80" s="10" t="s">
        <v>12</v>
      </c>
      <c r="D80" s="10" t="s">
        <v>30</v>
      </c>
      <c r="E80" s="11" t="s">
        <v>216</v>
      </c>
      <c r="F80" s="47" t="s">
        <v>217</v>
      </c>
      <c r="G80" s="49">
        <v>1210000</v>
      </c>
      <c r="H80" s="53">
        <v>665000</v>
      </c>
      <c r="I80" s="16">
        <f>Table13[[#This Row],[Publish Rate]]-Table13[[#This Row],[Offering Corporate Rate 2026]]</f>
        <v>545000</v>
      </c>
      <c r="J80" s="17" t="str">
        <f>IF(Table13[[#This Row],[Nilai Selisih]]&gt;100000,"Recommend","Revise")</f>
        <v>Recommend</v>
      </c>
      <c r="K80" s="17" t="s">
        <v>3</v>
      </c>
      <c r="L80" s="10" t="s">
        <v>212</v>
      </c>
      <c r="M80" s="18" t="s">
        <v>3</v>
      </c>
    </row>
    <row r="81" spans="1:13" ht="14" customHeight="1" x14ac:dyDescent="0.3">
      <c r="A81" s="9">
        <v>1</v>
      </c>
      <c r="B81" s="9" t="s">
        <v>0</v>
      </c>
      <c r="C81" s="10" t="s">
        <v>12</v>
      </c>
      <c r="D81" s="10" t="s">
        <v>30</v>
      </c>
      <c r="E81" s="18" t="s">
        <v>218</v>
      </c>
      <c r="F81" s="47" t="s">
        <v>219</v>
      </c>
      <c r="G81" s="54">
        <v>915000</v>
      </c>
      <c r="H81" s="49">
        <v>815000</v>
      </c>
      <c r="I81" s="16">
        <f>Table13[[#This Row],[Publish Rate]]-Table13[[#This Row],[Offering Corporate Rate 2026]]</f>
        <v>100000</v>
      </c>
      <c r="J81" s="17" t="str">
        <f>IF(Table13[[#This Row],[Nilai Selisih]]&gt;100000,"Recommend","Revise")</f>
        <v>Revise</v>
      </c>
      <c r="K81" s="17" t="s">
        <v>3</v>
      </c>
      <c r="L81" s="18" t="s">
        <v>212</v>
      </c>
      <c r="M81" s="18" t="s">
        <v>3</v>
      </c>
    </row>
    <row r="82" spans="1:13" s="43" customFormat="1" ht="14" customHeight="1" x14ac:dyDescent="0.3">
      <c r="A82" s="9">
        <v>1</v>
      </c>
      <c r="B82" s="9" t="s">
        <v>0</v>
      </c>
      <c r="C82" s="10" t="s">
        <v>12</v>
      </c>
      <c r="D82" s="10" t="s">
        <v>30</v>
      </c>
      <c r="E82" s="18" t="s">
        <v>220</v>
      </c>
      <c r="F82" s="47" t="s">
        <v>221</v>
      </c>
      <c r="G82" s="14">
        <v>2262000</v>
      </c>
      <c r="H82" s="16">
        <v>1805000</v>
      </c>
      <c r="I82" s="16">
        <f>Table13[[#This Row],[Publish Rate]]-Table13[[#This Row],[Offering Corporate Rate 2026]]</f>
        <v>457000</v>
      </c>
      <c r="J82" s="17" t="str">
        <f>IF(Table13[[#This Row],[Nilai Selisih]]&gt;100000,"Recommend","Revise")</f>
        <v>Recommend</v>
      </c>
      <c r="K82" s="17" t="s">
        <v>3</v>
      </c>
      <c r="L82" s="18" t="s">
        <v>222</v>
      </c>
      <c r="M82" s="18" t="s">
        <v>3</v>
      </c>
    </row>
    <row r="83" spans="1:13" ht="14" customHeight="1" x14ac:dyDescent="0.3">
      <c r="A83" s="9">
        <v>1</v>
      </c>
      <c r="B83" s="9" t="s">
        <v>0</v>
      </c>
      <c r="C83" s="10" t="s">
        <v>12</v>
      </c>
      <c r="D83" s="10" t="s">
        <v>30</v>
      </c>
      <c r="E83" s="18" t="s">
        <v>223</v>
      </c>
      <c r="F83" s="47" t="s">
        <v>224</v>
      </c>
      <c r="G83" s="14">
        <v>950000</v>
      </c>
      <c r="H83" s="16">
        <v>670000</v>
      </c>
      <c r="I83" s="16">
        <f>Table13[[#This Row],[Publish Rate]]-Table13[[#This Row],[Offering Corporate Rate 2026]]</f>
        <v>280000</v>
      </c>
      <c r="J83" s="17" t="str">
        <f>IF(Table13[[#This Row],[Nilai Selisih]]&gt;100000,"Recommend","Revise")</f>
        <v>Recommend</v>
      </c>
      <c r="K83" s="17" t="s">
        <v>3</v>
      </c>
      <c r="L83" s="18" t="s">
        <v>212</v>
      </c>
      <c r="M83" s="18" t="s">
        <v>3</v>
      </c>
    </row>
    <row r="84" spans="1:13" ht="14" customHeight="1" x14ac:dyDescent="0.3">
      <c r="A84" s="9">
        <v>1</v>
      </c>
      <c r="B84" s="9" t="s">
        <v>0</v>
      </c>
      <c r="C84" s="10" t="s">
        <v>12</v>
      </c>
      <c r="D84" s="10" t="s">
        <v>30</v>
      </c>
      <c r="E84" s="18" t="s">
        <v>225</v>
      </c>
      <c r="F84" s="47" t="s">
        <v>226</v>
      </c>
      <c r="G84" s="14">
        <v>350000</v>
      </c>
      <c r="H84" s="16">
        <v>350000</v>
      </c>
      <c r="I84" s="16">
        <f>Table13[[#This Row],[Publish Rate]]-Table13[[#This Row],[Offering Corporate Rate 2026]]</f>
        <v>0</v>
      </c>
      <c r="J84" s="17" t="str">
        <f>IF(Table13[[#This Row],[Nilai Selisih]]&gt;100000,"Recommend","Revise")</f>
        <v>Revise</v>
      </c>
      <c r="K84" s="17" t="s">
        <v>3</v>
      </c>
      <c r="L84" s="18" t="s">
        <v>227</v>
      </c>
      <c r="M84" s="18" t="s">
        <v>3</v>
      </c>
    </row>
    <row r="85" spans="1:13" ht="14" customHeight="1" x14ac:dyDescent="0.3">
      <c r="A85" s="9">
        <v>1</v>
      </c>
      <c r="B85" s="9" t="s">
        <v>0</v>
      </c>
      <c r="C85" s="10" t="s">
        <v>12</v>
      </c>
      <c r="D85" s="10" t="s">
        <v>30</v>
      </c>
      <c r="E85" s="18" t="s">
        <v>228</v>
      </c>
      <c r="F85" s="47" t="s">
        <v>229</v>
      </c>
      <c r="G85" s="56">
        <f>2745000/3</f>
        <v>915000</v>
      </c>
      <c r="H85" s="16">
        <v>910000</v>
      </c>
      <c r="I85" s="16">
        <f>Table13[[#This Row],[Publish Rate]]-Table13[[#This Row],[Offering Corporate Rate 2026]]</f>
        <v>5000</v>
      </c>
      <c r="J85" s="17" t="str">
        <f>IF(Table13[[#This Row],[Nilai Selisih]]&gt;100000,"Recommend","Revise")</f>
        <v>Revise</v>
      </c>
      <c r="K85" s="17" t="s">
        <v>3</v>
      </c>
      <c r="L85" s="18" t="s">
        <v>230</v>
      </c>
      <c r="M85" s="18" t="s">
        <v>3</v>
      </c>
    </row>
    <row r="86" spans="1:13" ht="14" customHeight="1" x14ac:dyDescent="0.3">
      <c r="A86" s="9">
        <v>1</v>
      </c>
      <c r="B86" s="9" t="s">
        <v>0</v>
      </c>
      <c r="C86" s="10" t="s">
        <v>12</v>
      </c>
      <c r="D86" s="10" t="s">
        <v>231</v>
      </c>
      <c r="E86" s="18" t="s">
        <v>232</v>
      </c>
      <c r="F86" s="57" t="s">
        <v>233</v>
      </c>
      <c r="G86" s="58">
        <v>890000</v>
      </c>
      <c r="H86" s="16">
        <v>820000</v>
      </c>
      <c r="I86" s="16">
        <f>Table13[[#This Row],[Publish Rate]]-Table13[[#This Row],[Offering Corporate Rate 2026]]</f>
        <v>70000</v>
      </c>
      <c r="J86" s="17" t="str">
        <f>IF(Table13[[#This Row],[Nilai Selisih]]&gt;100000,"Recommend","Revise")</f>
        <v>Revise</v>
      </c>
      <c r="K86" s="17" t="s">
        <v>3</v>
      </c>
      <c r="L86" s="18" t="s">
        <v>234</v>
      </c>
      <c r="M86" s="18" t="s">
        <v>3</v>
      </c>
    </row>
    <row r="87" spans="1:13" ht="14" customHeight="1" x14ac:dyDescent="0.3">
      <c r="A87" s="9">
        <v>1</v>
      </c>
      <c r="B87" s="9" t="s">
        <v>0</v>
      </c>
      <c r="C87" s="10" t="s">
        <v>12</v>
      </c>
      <c r="D87" s="10" t="s">
        <v>235</v>
      </c>
      <c r="E87" s="18" t="s">
        <v>236</v>
      </c>
      <c r="F87" s="47" t="s">
        <v>237</v>
      </c>
      <c r="G87" s="59">
        <v>760000</v>
      </c>
      <c r="H87" s="16">
        <v>620000</v>
      </c>
      <c r="I87" s="16">
        <f>Table13[[#This Row],[Publish Rate]]-Table13[[#This Row],[Offering Corporate Rate 2026]]</f>
        <v>140000</v>
      </c>
      <c r="J87" s="17" t="str">
        <f>IF(Table13[[#This Row],[Nilai Selisih]]&gt;100000,"Recommend","Revise")</f>
        <v>Recommend</v>
      </c>
      <c r="K87" s="17" t="s">
        <v>3</v>
      </c>
      <c r="L87" s="18" t="s">
        <v>238</v>
      </c>
      <c r="M87" s="18" t="s">
        <v>3</v>
      </c>
    </row>
    <row r="88" spans="1:13" ht="14" customHeight="1" x14ac:dyDescent="0.3">
      <c r="A88" s="9">
        <v>1</v>
      </c>
      <c r="B88" s="9" t="s">
        <v>0</v>
      </c>
      <c r="C88" s="10" t="s">
        <v>12</v>
      </c>
      <c r="D88" s="10" t="s">
        <v>1269</v>
      </c>
      <c r="E88" s="18" t="s">
        <v>239</v>
      </c>
      <c r="F88" s="47" t="s">
        <v>240</v>
      </c>
      <c r="G88" s="14">
        <f>2190000/3</f>
        <v>730000</v>
      </c>
      <c r="H88" s="16">
        <v>550000</v>
      </c>
      <c r="I88" s="16">
        <f>Table13[[#This Row],[Publish Rate]]-Table13[[#This Row],[Offering Corporate Rate 2026]]</f>
        <v>180000</v>
      </c>
      <c r="J88" s="17" t="str">
        <f>IF(Table13[[#This Row],[Nilai Selisih]]&gt;100000,"Recommend","Revise")</f>
        <v>Recommend</v>
      </c>
      <c r="K88" s="17" t="s">
        <v>3</v>
      </c>
      <c r="L88" s="18" t="s">
        <v>241</v>
      </c>
      <c r="M88" s="18" t="s">
        <v>3</v>
      </c>
    </row>
    <row r="89" spans="1:13" ht="14" customHeight="1" x14ac:dyDescent="0.3">
      <c r="A89" s="9">
        <v>1</v>
      </c>
      <c r="B89" s="9" t="s">
        <v>0</v>
      </c>
      <c r="C89" s="10" t="s">
        <v>12</v>
      </c>
      <c r="D89" s="10" t="s">
        <v>1268</v>
      </c>
      <c r="E89" s="18" t="s">
        <v>242</v>
      </c>
      <c r="F89" s="47" t="s">
        <v>243</v>
      </c>
      <c r="G89" s="14">
        <f>2684000/3</f>
        <v>894666.66666666663</v>
      </c>
      <c r="H89" s="16">
        <v>730000</v>
      </c>
      <c r="I89" s="16">
        <f>Table13[[#This Row],[Publish Rate]]-Table13[[#This Row],[Offering Corporate Rate 2026]]</f>
        <v>164666.66666666663</v>
      </c>
      <c r="J89" s="17" t="str">
        <f>IF(Table13[[#This Row],[Nilai Selisih]]&gt;100000,"Recommend","Revise")</f>
        <v>Recommend</v>
      </c>
      <c r="K89" s="17" t="s">
        <v>3</v>
      </c>
      <c r="L89" s="18" t="s">
        <v>244</v>
      </c>
      <c r="M89" s="18" t="s">
        <v>3</v>
      </c>
    </row>
    <row r="90" spans="1:13" ht="14" customHeight="1" x14ac:dyDescent="0.3">
      <c r="A90" s="9">
        <v>1</v>
      </c>
      <c r="B90" s="9" t="s">
        <v>0</v>
      </c>
      <c r="C90" s="10" t="s">
        <v>12</v>
      </c>
      <c r="D90" s="10" t="s">
        <v>1269</v>
      </c>
      <c r="E90" s="18" t="s">
        <v>245</v>
      </c>
      <c r="F90" s="47" t="s">
        <v>246</v>
      </c>
      <c r="G90" s="14">
        <f>(2850000+45000)/3</f>
        <v>965000</v>
      </c>
      <c r="H90" s="16">
        <v>885000</v>
      </c>
      <c r="I90" s="16">
        <f>Table13[[#This Row],[Publish Rate]]-Table13[[#This Row],[Offering Corporate Rate 2026]]</f>
        <v>80000</v>
      </c>
      <c r="J90" s="17" t="str">
        <f>IF(Table13[[#This Row],[Nilai Selisih]]&gt;100000,"Recommend","Revise")</f>
        <v>Revise</v>
      </c>
      <c r="K90" s="17" t="s">
        <v>3</v>
      </c>
      <c r="L90" s="18" t="s">
        <v>247</v>
      </c>
      <c r="M90" s="18" t="s">
        <v>3</v>
      </c>
    </row>
    <row r="91" spans="1:13" ht="14" customHeight="1" x14ac:dyDescent="0.3">
      <c r="A91" s="9">
        <v>1</v>
      </c>
      <c r="B91" s="9" t="s">
        <v>0</v>
      </c>
      <c r="C91" s="10" t="s">
        <v>12</v>
      </c>
      <c r="D91" s="10" t="s">
        <v>1269</v>
      </c>
      <c r="E91" s="18" t="s">
        <v>248</v>
      </c>
      <c r="F91" s="47" t="s">
        <v>249</v>
      </c>
      <c r="G91" s="14">
        <v>685000</v>
      </c>
      <c r="H91" s="52">
        <v>675000</v>
      </c>
      <c r="I91" s="16">
        <f>Table13[[#This Row],[Publish Rate]]-Table13[[#This Row],[Offering Corporate Rate 2026]]</f>
        <v>10000</v>
      </c>
      <c r="J91" s="17" t="str">
        <f>IF(Table13[[#This Row],[Nilai Selisih]]&gt;100000,"Recommend","Revise")</f>
        <v>Revise</v>
      </c>
      <c r="K91" s="17" t="s">
        <v>3</v>
      </c>
      <c r="L91" s="18" t="s">
        <v>250</v>
      </c>
      <c r="M91" s="18" t="s">
        <v>3</v>
      </c>
    </row>
    <row r="92" spans="1:13" ht="14" customHeight="1" x14ac:dyDescent="0.3">
      <c r="A92" s="9">
        <v>1</v>
      </c>
      <c r="B92" s="9" t="s">
        <v>0</v>
      </c>
      <c r="C92" s="30" t="s">
        <v>12</v>
      </c>
      <c r="D92" s="30" t="s">
        <v>1268</v>
      </c>
      <c r="E92" s="18" t="s">
        <v>251</v>
      </c>
      <c r="F92" s="60" t="s">
        <v>252</v>
      </c>
      <c r="G92" s="61">
        <v>910000</v>
      </c>
      <c r="H92" s="52">
        <v>660000</v>
      </c>
      <c r="I92" s="16">
        <f>Table13[[#This Row],[Publish Rate]]-Table13[[#This Row],[Offering Corporate Rate 2026]]</f>
        <v>250000</v>
      </c>
      <c r="J92" s="17" t="str">
        <f>IF(Table13[[#This Row],[Nilai Selisih]]&gt;100000,"Recommend","Revise")</f>
        <v>Recommend</v>
      </c>
      <c r="K92" s="17" t="s">
        <v>3</v>
      </c>
      <c r="L92" s="18" t="s">
        <v>253</v>
      </c>
      <c r="M92" s="18" t="s">
        <v>3</v>
      </c>
    </row>
    <row r="93" spans="1:13" ht="14" customHeight="1" x14ac:dyDescent="0.3">
      <c r="A93" s="9">
        <v>1</v>
      </c>
      <c r="B93" s="9" t="s">
        <v>0</v>
      </c>
      <c r="C93" s="10" t="s">
        <v>12</v>
      </c>
      <c r="D93" s="10" t="s">
        <v>1269</v>
      </c>
      <c r="E93" s="18" t="s">
        <v>254</v>
      </c>
      <c r="F93" s="47" t="s">
        <v>255</v>
      </c>
      <c r="G93" s="61">
        <f>1260000/3</f>
        <v>420000</v>
      </c>
      <c r="H93" s="16">
        <v>330000</v>
      </c>
      <c r="I93" s="16">
        <f>Table13[[#This Row],[Publish Rate]]-Table13[[#This Row],[Offering Corporate Rate 2026]]</f>
        <v>90000</v>
      </c>
      <c r="J93" s="17" t="str">
        <f>IF(Table13[[#This Row],[Nilai Selisih]]&gt;100000,"Recommend","Revise")</f>
        <v>Revise</v>
      </c>
      <c r="K93" s="17" t="s">
        <v>3</v>
      </c>
      <c r="L93" s="18" t="s">
        <v>256</v>
      </c>
      <c r="M93" s="18" t="s">
        <v>3</v>
      </c>
    </row>
    <row r="94" spans="1:13" ht="14" customHeight="1" x14ac:dyDescent="0.3">
      <c r="A94" s="9">
        <v>1</v>
      </c>
      <c r="B94" s="9" t="s">
        <v>0</v>
      </c>
      <c r="C94" s="10" t="s">
        <v>12</v>
      </c>
      <c r="D94" s="10" t="s">
        <v>1268</v>
      </c>
      <c r="E94" s="18" t="s">
        <v>257</v>
      </c>
      <c r="F94" s="47" t="s">
        <v>258</v>
      </c>
      <c r="G94" s="61">
        <v>988000</v>
      </c>
      <c r="H94" s="16">
        <v>655000</v>
      </c>
      <c r="I94" s="16">
        <f>Table13[[#This Row],[Publish Rate]]-Table13[[#This Row],[Offering Corporate Rate 2026]]</f>
        <v>333000</v>
      </c>
      <c r="J94" s="17" t="str">
        <f>IF(Table13[[#This Row],[Nilai Selisih]]&gt;100000,"Recommend","Revise")</f>
        <v>Recommend</v>
      </c>
      <c r="K94" s="17" t="s">
        <v>3</v>
      </c>
      <c r="L94" s="18" t="s">
        <v>259</v>
      </c>
      <c r="M94" s="18" t="s">
        <v>3</v>
      </c>
    </row>
    <row r="95" spans="1:13" ht="14" customHeight="1" x14ac:dyDescent="0.3">
      <c r="A95" s="9">
        <v>1</v>
      </c>
      <c r="B95" s="9" t="s">
        <v>0</v>
      </c>
      <c r="C95" s="10" t="s">
        <v>12</v>
      </c>
      <c r="D95" s="10" t="s">
        <v>1268</v>
      </c>
      <c r="E95" s="18" t="s">
        <v>260</v>
      </c>
      <c r="F95" s="47" t="s">
        <v>261</v>
      </c>
      <c r="G95" s="49">
        <f>1194000/3</f>
        <v>398000</v>
      </c>
      <c r="H95" s="16">
        <v>330000</v>
      </c>
      <c r="I95" s="16">
        <f>Table13[[#This Row],[Publish Rate]]-Table13[[#This Row],[Offering Corporate Rate 2026]]</f>
        <v>68000</v>
      </c>
      <c r="J95" s="17" t="str">
        <f>IF(Table13[[#This Row],[Nilai Selisih]]&gt;100000,"Recommend","Revise")</f>
        <v>Revise</v>
      </c>
      <c r="K95" s="17" t="s">
        <v>3</v>
      </c>
      <c r="L95" s="18" t="s">
        <v>262</v>
      </c>
      <c r="M95" s="18" t="s">
        <v>3</v>
      </c>
    </row>
    <row r="96" spans="1:13" ht="14" customHeight="1" x14ac:dyDescent="0.3">
      <c r="A96" s="9">
        <v>1</v>
      </c>
      <c r="B96" s="9" t="s">
        <v>0</v>
      </c>
      <c r="C96" s="10" t="s">
        <v>12</v>
      </c>
      <c r="D96" s="10" t="s">
        <v>1268</v>
      </c>
      <c r="E96" s="18" t="s">
        <v>263</v>
      </c>
      <c r="F96" s="47" t="s">
        <v>264</v>
      </c>
      <c r="G96" s="49">
        <v>570000</v>
      </c>
      <c r="H96" s="16">
        <v>450000</v>
      </c>
      <c r="I96" s="16">
        <f>Table13[[#This Row],[Publish Rate]]-Table13[[#This Row],[Offering Corporate Rate 2026]]</f>
        <v>120000</v>
      </c>
      <c r="J96" s="17" t="str">
        <f>IF(Table13[[#This Row],[Nilai Selisih]]&gt;100000,"Recommend","Revise")</f>
        <v>Recommend</v>
      </c>
      <c r="K96" s="17" t="s">
        <v>3</v>
      </c>
      <c r="L96" s="18" t="s">
        <v>265</v>
      </c>
      <c r="M96" s="18" t="s">
        <v>3</v>
      </c>
    </row>
    <row r="97" spans="1:13" ht="14" customHeight="1" x14ac:dyDescent="0.3">
      <c r="A97" s="9">
        <v>1</v>
      </c>
      <c r="B97" s="9" t="s">
        <v>0</v>
      </c>
      <c r="C97" s="10" t="s">
        <v>12</v>
      </c>
      <c r="D97" s="10" t="s">
        <v>1811</v>
      </c>
      <c r="E97" s="18" t="s">
        <v>266</v>
      </c>
      <c r="F97" s="47" t="s">
        <v>267</v>
      </c>
      <c r="G97" s="49">
        <f>1509000/3</f>
        <v>503000</v>
      </c>
      <c r="H97" s="16">
        <v>392000</v>
      </c>
      <c r="I97" s="16">
        <f>Table13[[#This Row],[Publish Rate]]-Table13[[#This Row],[Offering Corporate Rate 2026]]</f>
        <v>111000</v>
      </c>
      <c r="J97" s="17" t="str">
        <f>IF(Table13[[#This Row],[Nilai Selisih]]&gt;100000,"Recommend","Revise")</f>
        <v>Recommend</v>
      </c>
      <c r="K97" s="17" t="s">
        <v>3</v>
      </c>
      <c r="L97" s="18" t="s">
        <v>262</v>
      </c>
      <c r="M97" s="18" t="s">
        <v>3</v>
      </c>
    </row>
    <row r="98" spans="1:13" ht="14" customHeight="1" x14ac:dyDescent="0.3">
      <c r="A98" s="9">
        <v>1</v>
      </c>
      <c r="B98" s="9" t="s">
        <v>0</v>
      </c>
      <c r="C98" s="10" t="s">
        <v>12</v>
      </c>
      <c r="D98" s="10" t="s">
        <v>1811</v>
      </c>
      <c r="E98" s="18" t="s">
        <v>268</v>
      </c>
      <c r="F98" s="47" t="s">
        <v>269</v>
      </c>
      <c r="G98" s="49">
        <v>418000</v>
      </c>
      <c r="H98" s="16">
        <v>378000</v>
      </c>
      <c r="I98" s="16">
        <f>Table13[[#This Row],[Publish Rate]]-Table13[[#This Row],[Offering Corporate Rate 2026]]</f>
        <v>40000</v>
      </c>
      <c r="J98" s="17" t="str">
        <f>IF(Table13[[#This Row],[Nilai Selisih]]&gt;100000,"Recommend","Revise")</f>
        <v>Revise</v>
      </c>
      <c r="K98" s="17" t="s">
        <v>3</v>
      </c>
      <c r="L98" s="18" t="s">
        <v>262</v>
      </c>
      <c r="M98" s="18" t="s">
        <v>3</v>
      </c>
    </row>
    <row r="99" spans="1:13" ht="14" customHeight="1" x14ac:dyDescent="0.3">
      <c r="A99" s="9">
        <v>1</v>
      </c>
      <c r="B99" s="9" t="s">
        <v>0</v>
      </c>
      <c r="C99" s="10" t="s">
        <v>12</v>
      </c>
      <c r="D99" s="10" t="s">
        <v>1811</v>
      </c>
      <c r="E99" s="18" t="s">
        <v>270</v>
      </c>
      <c r="F99" s="47" t="s">
        <v>271</v>
      </c>
      <c r="G99" s="49">
        <v>480000</v>
      </c>
      <c r="H99" s="16">
        <v>345000</v>
      </c>
      <c r="I99" s="16">
        <f>Table13[[#This Row],[Publish Rate]]-Table13[[#This Row],[Offering Corporate Rate 2026]]</f>
        <v>135000</v>
      </c>
      <c r="J99" s="17" t="str">
        <f>IF(Table13[[#This Row],[Nilai Selisih]]&gt;100000,"Recommend","Revise")</f>
        <v>Recommend</v>
      </c>
      <c r="K99" s="17" t="s">
        <v>3</v>
      </c>
      <c r="L99" s="18" t="s">
        <v>262</v>
      </c>
      <c r="M99" s="18" t="s">
        <v>3</v>
      </c>
    </row>
    <row r="100" spans="1:13" ht="14" customHeight="1" x14ac:dyDescent="0.3">
      <c r="A100" s="9">
        <v>1</v>
      </c>
      <c r="B100" s="9" t="s">
        <v>0</v>
      </c>
      <c r="C100" s="48" t="s">
        <v>12</v>
      </c>
      <c r="D100" s="48" t="s">
        <v>1808</v>
      </c>
      <c r="E100" s="62" t="s">
        <v>272</v>
      </c>
      <c r="F100" s="63" t="s">
        <v>273</v>
      </c>
      <c r="G100" s="34">
        <f>1755000/3</f>
        <v>585000</v>
      </c>
      <c r="H100" s="34">
        <v>500000</v>
      </c>
      <c r="I100" s="16">
        <f>Table13[[#This Row],[Publish Rate]]-Table13[[#This Row],[Offering Corporate Rate 2026]]</f>
        <v>85000</v>
      </c>
      <c r="J100" s="17" t="str">
        <f>IF(Table13[[#This Row],[Nilai Selisih]]&gt;100000,"Recommend","Revise")</f>
        <v>Revise</v>
      </c>
      <c r="K100" s="17" t="s">
        <v>3</v>
      </c>
      <c r="L100" s="62" t="s">
        <v>274</v>
      </c>
      <c r="M100" s="18" t="s">
        <v>3</v>
      </c>
    </row>
    <row r="101" spans="1:13" ht="14" customHeight="1" x14ac:dyDescent="0.3">
      <c r="A101" s="9">
        <v>1</v>
      </c>
      <c r="B101" s="9" t="s">
        <v>0</v>
      </c>
      <c r="C101" s="48" t="s">
        <v>12</v>
      </c>
      <c r="D101" s="48" t="s">
        <v>1808</v>
      </c>
      <c r="E101" s="62" t="s">
        <v>275</v>
      </c>
      <c r="F101" s="63" t="s">
        <v>276</v>
      </c>
      <c r="G101" s="34">
        <v>900000</v>
      </c>
      <c r="H101" s="34">
        <v>740000</v>
      </c>
      <c r="I101" s="16">
        <f>Table13[[#This Row],[Publish Rate]]-Table13[[#This Row],[Offering Corporate Rate 2026]]</f>
        <v>160000</v>
      </c>
      <c r="J101" s="17" t="str">
        <f>IF(Table13[[#This Row],[Nilai Selisih]]&gt;100000,"Recommend","Revise")</f>
        <v>Recommend</v>
      </c>
      <c r="K101" s="17" t="s">
        <v>3</v>
      </c>
      <c r="L101" s="62" t="s">
        <v>277</v>
      </c>
      <c r="M101" s="18" t="s">
        <v>3</v>
      </c>
    </row>
    <row r="102" spans="1:13" ht="14" customHeight="1" x14ac:dyDescent="0.3">
      <c r="A102" s="9">
        <v>1</v>
      </c>
      <c r="B102" s="9" t="s">
        <v>0</v>
      </c>
      <c r="C102" s="48" t="s">
        <v>12</v>
      </c>
      <c r="D102" s="48" t="s">
        <v>1808</v>
      </c>
      <c r="E102" s="62" t="s">
        <v>278</v>
      </c>
      <c r="F102" s="63" t="s">
        <v>279</v>
      </c>
      <c r="G102" s="34">
        <v>1318000</v>
      </c>
      <c r="H102" s="34">
        <v>1208000</v>
      </c>
      <c r="I102" s="16">
        <f>Table13[[#This Row],[Publish Rate]]-Table13[[#This Row],[Offering Corporate Rate 2026]]</f>
        <v>110000</v>
      </c>
      <c r="J102" s="17" t="str">
        <f>IF(Table13[[#This Row],[Nilai Selisih]]&gt;100000,"Recommend","Revise")</f>
        <v>Recommend</v>
      </c>
      <c r="K102" s="17" t="s">
        <v>3</v>
      </c>
      <c r="L102" s="62" t="s">
        <v>280</v>
      </c>
      <c r="M102" s="18" t="s">
        <v>3</v>
      </c>
    </row>
    <row r="103" spans="1:13" ht="14" customHeight="1" x14ac:dyDescent="0.3">
      <c r="A103" s="9">
        <v>1</v>
      </c>
      <c r="B103" s="9" t="s">
        <v>0</v>
      </c>
      <c r="C103" s="10" t="s">
        <v>12</v>
      </c>
      <c r="D103" s="10" t="s">
        <v>1808</v>
      </c>
      <c r="E103" s="18" t="s">
        <v>281</v>
      </c>
      <c r="F103" s="47" t="s">
        <v>282</v>
      </c>
      <c r="G103" s="49">
        <v>775000</v>
      </c>
      <c r="H103" s="34">
        <v>720000</v>
      </c>
      <c r="I103" s="16">
        <f>Table13[[#This Row],[Publish Rate]]-Table13[[#This Row],[Offering Corporate Rate 2026]]</f>
        <v>55000</v>
      </c>
      <c r="J103" s="17" t="str">
        <f>IF(Table13[[#This Row],[Nilai Selisih]]&gt;100000,"Recommend","Revise")</f>
        <v>Revise</v>
      </c>
      <c r="K103" s="17" t="s">
        <v>3</v>
      </c>
      <c r="L103" s="18" t="s">
        <v>283</v>
      </c>
      <c r="M103" s="18" t="s">
        <v>3</v>
      </c>
    </row>
    <row r="104" spans="1:13" ht="14" customHeight="1" x14ac:dyDescent="0.3">
      <c r="A104" s="9">
        <v>1</v>
      </c>
      <c r="B104" s="9" t="s">
        <v>0</v>
      </c>
      <c r="C104" s="10" t="s">
        <v>12</v>
      </c>
      <c r="D104" s="10" t="s">
        <v>1808</v>
      </c>
      <c r="E104" s="18" t="s">
        <v>284</v>
      </c>
      <c r="F104" s="47" t="s">
        <v>285</v>
      </c>
      <c r="G104" s="49">
        <v>488000</v>
      </c>
      <c r="H104" s="16">
        <v>438000</v>
      </c>
      <c r="I104" s="16">
        <f>Table13[[#This Row],[Publish Rate]]-Table13[[#This Row],[Offering Corporate Rate 2026]]</f>
        <v>50000</v>
      </c>
      <c r="J104" s="17" t="str">
        <f>IF(Table13[[#This Row],[Nilai Selisih]]&gt;100000,"Recommend","Revise")</f>
        <v>Revise</v>
      </c>
      <c r="K104" s="17" t="s">
        <v>3</v>
      </c>
      <c r="L104" s="18" t="s">
        <v>286</v>
      </c>
      <c r="M104" s="18" t="s">
        <v>3</v>
      </c>
    </row>
    <row r="105" spans="1:13" ht="14" customHeight="1" x14ac:dyDescent="0.3">
      <c r="A105" s="9">
        <v>1</v>
      </c>
      <c r="B105" s="9" t="s">
        <v>0</v>
      </c>
      <c r="C105" s="10" t="s">
        <v>12</v>
      </c>
      <c r="D105" s="10" t="s">
        <v>1808</v>
      </c>
      <c r="E105" s="18" t="s">
        <v>287</v>
      </c>
      <c r="F105" s="47" t="s">
        <v>288</v>
      </c>
      <c r="G105" s="49">
        <v>425000</v>
      </c>
      <c r="H105" s="16">
        <v>400000</v>
      </c>
      <c r="I105" s="16">
        <f>Table13[[#This Row],[Publish Rate]]-Table13[[#This Row],[Offering Corporate Rate 2026]]</f>
        <v>25000</v>
      </c>
      <c r="J105" s="17" t="str">
        <f>IF(Table13[[#This Row],[Nilai Selisih]]&gt;100000,"Recommend","Revise")</f>
        <v>Revise</v>
      </c>
      <c r="K105" s="17" t="s">
        <v>3</v>
      </c>
      <c r="L105" s="18" t="s">
        <v>289</v>
      </c>
      <c r="M105" s="18" t="s">
        <v>3</v>
      </c>
    </row>
    <row r="106" spans="1:13" ht="14" customHeight="1" x14ac:dyDescent="0.3">
      <c r="A106" s="9">
        <v>1</v>
      </c>
      <c r="B106" s="9" t="s">
        <v>0</v>
      </c>
      <c r="C106" s="10" t="s">
        <v>12</v>
      </c>
      <c r="D106" s="10" t="s">
        <v>1808</v>
      </c>
      <c r="E106" s="18" t="s">
        <v>290</v>
      </c>
      <c r="F106" s="47" t="s">
        <v>291</v>
      </c>
      <c r="G106" s="49">
        <v>510000</v>
      </c>
      <c r="H106" s="16">
        <v>475000</v>
      </c>
      <c r="I106" s="16">
        <f>Table13[[#This Row],[Publish Rate]]-Table13[[#This Row],[Offering Corporate Rate 2026]]</f>
        <v>35000</v>
      </c>
      <c r="J106" s="17" t="str">
        <f>IF(Table13[[#This Row],[Nilai Selisih]]&gt;100000,"Recommend","Revise")</f>
        <v>Revise</v>
      </c>
      <c r="K106" s="17" t="s">
        <v>3</v>
      </c>
      <c r="L106" s="18" t="s">
        <v>289</v>
      </c>
      <c r="M106" s="18" t="s">
        <v>3</v>
      </c>
    </row>
    <row r="107" spans="1:13" ht="14" customHeight="1" x14ac:dyDescent="0.3">
      <c r="A107" s="9">
        <v>1</v>
      </c>
      <c r="B107" s="9" t="s">
        <v>0</v>
      </c>
      <c r="C107" s="10" t="s">
        <v>12</v>
      </c>
      <c r="D107" s="10" t="s">
        <v>1808</v>
      </c>
      <c r="E107" s="18" t="s">
        <v>292</v>
      </c>
      <c r="F107" s="47" t="s">
        <v>293</v>
      </c>
      <c r="G107" s="49">
        <v>344250</v>
      </c>
      <c r="H107" s="16">
        <v>360000</v>
      </c>
      <c r="I107" s="16">
        <f>Table13[[#This Row],[Publish Rate]]-Table13[[#This Row],[Offering Corporate Rate 2026]]</f>
        <v>-15750</v>
      </c>
      <c r="J107" s="17" t="str">
        <f>IF(Table13[[#This Row],[Nilai Selisih]]&gt;100000,"Recommend","Revise")</f>
        <v>Revise</v>
      </c>
      <c r="K107" s="17" t="s">
        <v>3</v>
      </c>
      <c r="L107" s="18" t="s">
        <v>1831</v>
      </c>
      <c r="M107" s="18" t="s">
        <v>3</v>
      </c>
    </row>
    <row r="108" spans="1:13" ht="14" customHeight="1" x14ac:dyDescent="0.3">
      <c r="A108" s="9">
        <v>1</v>
      </c>
      <c r="B108" s="9" t="s">
        <v>0</v>
      </c>
      <c r="C108" s="10" t="s">
        <v>12</v>
      </c>
      <c r="D108" s="10" t="s">
        <v>1808</v>
      </c>
      <c r="E108" s="18" t="s">
        <v>294</v>
      </c>
      <c r="F108" s="47" t="s">
        <v>295</v>
      </c>
      <c r="G108" s="49">
        <v>1439000</v>
      </c>
      <c r="H108" s="16">
        <v>1150000</v>
      </c>
      <c r="I108" s="16">
        <f>Table13[[#This Row],[Publish Rate]]-Table13[[#This Row],[Offering Corporate Rate 2026]]</f>
        <v>289000</v>
      </c>
      <c r="J108" s="17" t="str">
        <f>IF(Table13[[#This Row],[Nilai Selisih]]&gt;100000,"Recommend","Revise")</f>
        <v>Recommend</v>
      </c>
      <c r="K108" s="17" t="s">
        <v>3</v>
      </c>
      <c r="L108" s="18" t="s">
        <v>296</v>
      </c>
      <c r="M108" s="18" t="s">
        <v>3</v>
      </c>
    </row>
    <row r="109" spans="1:13" ht="14" customHeight="1" x14ac:dyDescent="0.3">
      <c r="A109" s="9">
        <v>1</v>
      </c>
      <c r="B109" s="9" t="s">
        <v>0</v>
      </c>
      <c r="C109" s="10" t="s">
        <v>12</v>
      </c>
      <c r="D109" s="10" t="s">
        <v>1808</v>
      </c>
      <c r="E109" s="18" t="s">
        <v>297</v>
      </c>
      <c r="F109" s="47" t="s">
        <v>298</v>
      </c>
      <c r="G109" s="49">
        <v>578000</v>
      </c>
      <c r="H109" s="16">
        <v>503000</v>
      </c>
      <c r="I109" s="16">
        <f>Table13[[#This Row],[Publish Rate]]-Table13[[#This Row],[Offering Corporate Rate 2026]]</f>
        <v>75000</v>
      </c>
      <c r="J109" s="17" t="str">
        <f>IF(Table13[[#This Row],[Nilai Selisih]]&gt;100000,"Recommend","Revise")</f>
        <v>Revise</v>
      </c>
      <c r="K109" s="17" t="s">
        <v>3</v>
      </c>
      <c r="L109" s="18" t="s">
        <v>299</v>
      </c>
      <c r="M109" s="18" t="s">
        <v>3</v>
      </c>
    </row>
    <row r="110" spans="1:13" ht="14" customHeight="1" x14ac:dyDescent="0.3">
      <c r="A110" s="9">
        <v>1</v>
      </c>
      <c r="B110" s="9" t="s">
        <v>0</v>
      </c>
      <c r="C110" s="10" t="s">
        <v>12</v>
      </c>
      <c r="D110" s="10" t="s">
        <v>1806</v>
      </c>
      <c r="E110" s="18" t="s">
        <v>300</v>
      </c>
      <c r="F110" s="47" t="s">
        <v>301</v>
      </c>
      <c r="G110" s="49">
        <v>2100000</v>
      </c>
      <c r="H110" s="16">
        <v>1150000</v>
      </c>
      <c r="I110" s="16">
        <f>Table13[[#This Row],[Publish Rate]]-Table13[[#This Row],[Offering Corporate Rate 2026]]</f>
        <v>950000</v>
      </c>
      <c r="J110" s="17" t="str">
        <f>IF(Table13[[#This Row],[Nilai Selisih]]&gt;100000,"Recommend","Revise")</f>
        <v>Recommend</v>
      </c>
      <c r="K110" s="17" t="s">
        <v>3</v>
      </c>
      <c r="L110" s="18" t="s">
        <v>1825</v>
      </c>
      <c r="M110" s="18" t="s">
        <v>3</v>
      </c>
    </row>
    <row r="111" spans="1:13" ht="14" customHeight="1" x14ac:dyDescent="0.3">
      <c r="A111" s="9">
        <v>1</v>
      </c>
      <c r="B111" s="9" t="s">
        <v>0</v>
      </c>
      <c r="C111" s="10" t="s">
        <v>12</v>
      </c>
      <c r="D111" s="10" t="s">
        <v>1808</v>
      </c>
      <c r="E111" s="10" t="s">
        <v>302</v>
      </c>
      <c r="F111" s="47" t="s">
        <v>303</v>
      </c>
      <c r="G111" s="49">
        <v>2178000</v>
      </c>
      <c r="H111" s="16">
        <v>1400000</v>
      </c>
      <c r="I111" s="16">
        <f>Table13[[#This Row],[Publish Rate]]-Table13[[#This Row],[Offering Corporate Rate 2026]]</f>
        <v>778000</v>
      </c>
      <c r="J111" s="17" t="str">
        <f>IF(Table13[[#This Row],[Nilai Selisih]]&gt;100000,"Recommend","Revise")</f>
        <v>Recommend</v>
      </c>
      <c r="K111" s="17" t="s">
        <v>3</v>
      </c>
      <c r="L111" s="10" t="s">
        <v>304</v>
      </c>
      <c r="M111" s="18" t="s">
        <v>3</v>
      </c>
    </row>
    <row r="112" spans="1:13" ht="14" customHeight="1" x14ac:dyDescent="0.3">
      <c r="A112" s="9">
        <v>1</v>
      </c>
      <c r="B112" s="9" t="s">
        <v>0</v>
      </c>
      <c r="C112" s="10" t="s">
        <v>12</v>
      </c>
      <c r="D112" s="10" t="s">
        <v>1808</v>
      </c>
      <c r="E112" s="30" t="s">
        <v>305</v>
      </c>
      <c r="F112" s="47" t="s">
        <v>306</v>
      </c>
      <c r="G112" s="49">
        <v>1680000</v>
      </c>
      <c r="H112" s="16">
        <v>1288650</v>
      </c>
      <c r="I112" s="16">
        <f>Table13[[#This Row],[Publish Rate]]-Table13[[#This Row],[Offering Corporate Rate 2026]]</f>
        <v>391350</v>
      </c>
      <c r="J112" s="17" t="str">
        <f>IF(Table13[[#This Row],[Nilai Selisih]]&gt;100000,"Recommend","Revise")</f>
        <v>Recommend</v>
      </c>
      <c r="K112" s="17" t="s">
        <v>3</v>
      </c>
      <c r="L112" s="10" t="s">
        <v>1832</v>
      </c>
      <c r="M112" s="18" t="s">
        <v>3</v>
      </c>
    </row>
    <row r="113" spans="1:13" ht="14" customHeight="1" x14ac:dyDescent="0.3">
      <c r="A113" s="9">
        <v>1</v>
      </c>
      <c r="B113" s="9" t="s">
        <v>0</v>
      </c>
      <c r="C113" s="18" t="s">
        <v>12</v>
      </c>
      <c r="D113" s="11" t="s">
        <v>1808</v>
      </c>
      <c r="E113" s="64" t="s">
        <v>16</v>
      </c>
      <c r="F113" s="13" t="s">
        <v>307</v>
      </c>
      <c r="G113" s="49">
        <v>1925000</v>
      </c>
      <c r="H113" s="16">
        <v>1600000</v>
      </c>
      <c r="I113" s="16">
        <f>Table13[[#This Row],[Publish Rate]]-Table13[[#This Row],[Offering Corporate Rate 2026]]</f>
        <v>325000</v>
      </c>
      <c r="J113" s="17" t="str">
        <f>IF(Table13[[#This Row],[Nilai Selisih]]&gt;100000,"Recommend","Revise")</f>
        <v>Recommend</v>
      </c>
      <c r="K113" s="17" t="s">
        <v>3</v>
      </c>
      <c r="L113" s="10" t="s">
        <v>1833</v>
      </c>
      <c r="M113" s="18" t="s">
        <v>3</v>
      </c>
    </row>
    <row r="114" spans="1:13" ht="14" customHeight="1" x14ac:dyDescent="0.3">
      <c r="A114" s="9">
        <v>1</v>
      </c>
      <c r="B114" s="9" t="s">
        <v>0</v>
      </c>
      <c r="C114" s="18" t="s">
        <v>12</v>
      </c>
      <c r="D114" s="65" t="s">
        <v>1808</v>
      </c>
      <c r="E114" s="64" t="s">
        <v>309</v>
      </c>
      <c r="F114" s="13" t="s">
        <v>310</v>
      </c>
      <c r="G114" s="49">
        <v>2202200</v>
      </c>
      <c r="H114" s="16">
        <v>1200000</v>
      </c>
      <c r="I114" s="16">
        <f>Table13[[#This Row],[Publish Rate]]-Table13[[#This Row],[Offering Corporate Rate 2026]]</f>
        <v>1002200</v>
      </c>
      <c r="J114" s="17" t="str">
        <f>IF(Table13[[#This Row],[Nilai Selisih]]&gt;100000,"Recommend","Revise")</f>
        <v>Recommend</v>
      </c>
      <c r="K114" s="17" t="s">
        <v>3</v>
      </c>
      <c r="L114" s="10" t="s">
        <v>308</v>
      </c>
      <c r="M114" s="18" t="s">
        <v>3</v>
      </c>
    </row>
    <row r="115" spans="1:13" ht="14" customHeight="1" x14ac:dyDescent="0.3">
      <c r="A115" s="9">
        <v>1</v>
      </c>
      <c r="B115" s="9" t="s">
        <v>0</v>
      </c>
      <c r="C115" s="18" t="s">
        <v>12</v>
      </c>
      <c r="D115" s="10" t="s">
        <v>1808</v>
      </c>
      <c r="E115" s="18" t="s">
        <v>311</v>
      </c>
      <c r="F115" s="47" t="s">
        <v>31</v>
      </c>
      <c r="G115" s="49">
        <v>1250000</v>
      </c>
      <c r="H115" s="16">
        <v>800000</v>
      </c>
      <c r="I115" s="16">
        <f>Table13[[#This Row],[Publish Rate]]-Table13[[#This Row],[Offering Corporate Rate 2026]]</f>
        <v>450000</v>
      </c>
      <c r="J115" s="17" t="str">
        <f>IF(Table13[[#This Row],[Nilai Selisih]]&gt;100000,"Recommend","Revise")</f>
        <v>Recommend</v>
      </c>
      <c r="K115" s="17" t="s">
        <v>3</v>
      </c>
      <c r="L115" s="10" t="s">
        <v>1834</v>
      </c>
      <c r="M115" s="18" t="s">
        <v>3</v>
      </c>
    </row>
    <row r="116" spans="1:13" ht="14" customHeight="1" x14ac:dyDescent="0.3">
      <c r="A116" s="9">
        <v>1</v>
      </c>
      <c r="B116" s="9" t="s">
        <v>0</v>
      </c>
      <c r="C116" s="18" t="s">
        <v>12</v>
      </c>
      <c r="D116" s="10" t="s">
        <v>1008</v>
      </c>
      <c r="E116" s="18" t="s">
        <v>312</v>
      </c>
      <c r="F116" s="47" t="s">
        <v>313</v>
      </c>
      <c r="G116" s="49">
        <v>650000</v>
      </c>
      <c r="H116" s="16">
        <v>850000</v>
      </c>
      <c r="I116" s="16">
        <f>Table13[[#This Row],[Publish Rate]]-Table13[[#This Row],[Offering Corporate Rate 2026]]</f>
        <v>-200000</v>
      </c>
      <c r="J116" s="17" t="str">
        <f>IF(Table13[[#This Row],[Nilai Selisih]]&gt;100000,"Recommend","Revise")</f>
        <v>Revise</v>
      </c>
      <c r="K116" s="17" t="s">
        <v>3</v>
      </c>
      <c r="L116" s="10" t="s">
        <v>314</v>
      </c>
      <c r="M116" s="18" t="s">
        <v>3</v>
      </c>
    </row>
    <row r="117" spans="1:13" ht="14" customHeight="1" x14ac:dyDescent="0.3">
      <c r="A117" s="9">
        <v>1</v>
      </c>
      <c r="B117" s="9" t="s">
        <v>0</v>
      </c>
      <c r="C117" s="18" t="s">
        <v>12</v>
      </c>
      <c r="D117" s="10" t="s">
        <v>1808</v>
      </c>
      <c r="E117" s="18" t="s">
        <v>315</v>
      </c>
      <c r="F117" s="47" t="s">
        <v>316</v>
      </c>
      <c r="G117" s="49">
        <v>1404150</v>
      </c>
      <c r="H117" s="16">
        <v>1000000</v>
      </c>
      <c r="I117" s="16">
        <f>Table13[[#This Row],[Publish Rate]]-Table13[[#This Row],[Offering Corporate Rate 2026]]</f>
        <v>404150</v>
      </c>
      <c r="J117" s="17" t="str">
        <f>IF(Table13[[#This Row],[Nilai Selisih]]&gt;100000,"Recommend","Revise")</f>
        <v>Recommend</v>
      </c>
      <c r="K117" s="17" t="s">
        <v>3</v>
      </c>
      <c r="L117" s="10" t="s">
        <v>317</v>
      </c>
      <c r="M117" s="18" t="s">
        <v>3</v>
      </c>
    </row>
    <row r="118" spans="1:13" ht="14" customHeight="1" x14ac:dyDescent="0.3">
      <c r="A118" s="9">
        <v>1</v>
      </c>
      <c r="B118" s="9" t="s">
        <v>0</v>
      </c>
      <c r="C118" s="18" t="s">
        <v>12</v>
      </c>
      <c r="D118" s="10" t="s">
        <v>1808</v>
      </c>
      <c r="E118" s="18" t="s">
        <v>318</v>
      </c>
      <c r="F118" s="47" t="s">
        <v>316</v>
      </c>
      <c r="G118" s="49">
        <v>1282050</v>
      </c>
      <c r="H118" s="16">
        <v>1050000</v>
      </c>
      <c r="I118" s="16">
        <f>Table13[[#This Row],[Publish Rate]]-Table13[[#This Row],[Offering Corporate Rate 2026]]</f>
        <v>232050</v>
      </c>
      <c r="J118" s="17" t="str">
        <f>IF(Table13[[#This Row],[Nilai Selisih]]&gt;100000,"Recommend","Revise")</f>
        <v>Recommend</v>
      </c>
      <c r="K118" s="17" t="s">
        <v>3</v>
      </c>
      <c r="L118" s="10" t="s">
        <v>319</v>
      </c>
      <c r="M118" s="18" t="s">
        <v>3</v>
      </c>
    </row>
    <row r="119" spans="1:13" ht="14" customHeight="1" x14ac:dyDescent="0.3">
      <c r="A119" s="9">
        <v>1</v>
      </c>
      <c r="B119" s="9" t="s">
        <v>0</v>
      </c>
      <c r="C119" s="18" t="s">
        <v>12</v>
      </c>
      <c r="D119" s="10" t="s">
        <v>1808</v>
      </c>
      <c r="E119" s="18" t="s">
        <v>320</v>
      </c>
      <c r="F119" s="47" t="s">
        <v>321</v>
      </c>
      <c r="G119" s="49">
        <v>1550000</v>
      </c>
      <c r="H119" s="16">
        <v>1375000</v>
      </c>
      <c r="I119" s="16">
        <f>Table13[[#This Row],[Publish Rate]]-Table13[[#This Row],[Offering Corporate Rate 2026]]</f>
        <v>175000</v>
      </c>
      <c r="J119" s="17" t="str">
        <f>IF(Table13[[#This Row],[Nilai Selisih]]&gt;100000,"Recommend","Revise")</f>
        <v>Recommend</v>
      </c>
      <c r="K119" s="17" t="s">
        <v>3</v>
      </c>
      <c r="L119" s="10" t="s">
        <v>322</v>
      </c>
      <c r="M119" s="18" t="s">
        <v>3</v>
      </c>
    </row>
    <row r="120" spans="1:13" ht="14" customHeight="1" x14ac:dyDescent="0.3">
      <c r="A120" s="9">
        <v>1</v>
      </c>
      <c r="B120" s="9" t="s">
        <v>0</v>
      </c>
      <c r="C120" s="18" t="s">
        <v>12</v>
      </c>
      <c r="D120" s="10" t="s">
        <v>1808</v>
      </c>
      <c r="E120" s="18" t="s">
        <v>323</v>
      </c>
      <c r="F120" s="47" t="s">
        <v>324</v>
      </c>
      <c r="G120" s="49">
        <v>2650000</v>
      </c>
      <c r="H120" s="16">
        <v>1850000</v>
      </c>
      <c r="I120" s="16">
        <f>Table13[[#This Row],[Publish Rate]]-Table13[[#This Row],[Offering Corporate Rate 2026]]</f>
        <v>800000</v>
      </c>
      <c r="J120" s="17" t="str">
        <f>IF(Table13[[#This Row],[Nilai Selisih]]&gt;100000,"Recommend","Revise")</f>
        <v>Recommend</v>
      </c>
      <c r="K120" s="17" t="s">
        <v>3</v>
      </c>
      <c r="L120" s="10" t="s">
        <v>325</v>
      </c>
      <c r="M120" s="18" t="s">
        <v>3</v>
      </c>
    </row>
    <row r="121" spans="1:13" ht="14" customHeight="1" x14ac:dyDescent="0.3">
      <c r="A121" s="9">
        <v>1</v>
      </c>
      <c r="B121" s="9" t="s">
        <v>0</v>
      </c>
      <c r="C121" s="18" t="s">
        <v>12</v>
      </c>
      <c r="D121" s="10" t="s">
        <v>1808</v>
      </c>
      <c r="E121" s="18" t="s">
        <v>326</v>
      </c>
      <c r="G121" s="49">
        <v>1470000</v>
      </c>
      <c r="H121" s="16">
        <v>1370000</v>
      </c>
      <c r="I121" s="16">
        <f>Table13[[#This Row],[Publish Rate]]-Table13[[#This Row],[Offering Corporate Rate 2026]]</f>
        <v>100000</v>
      </c>
      <c r="J121" s="17" t="str">
        <f>IF(Table13[[#This Row],[Nilai Selisih]]&gt;100000,"Recommend","Revise")</f>
        <v>Revise</v>
      </c>
      <c r="K121" s="17" t="s">
        <v>3</v>
      </c>
      <c r="L121" s="66" t="s">
        <v>327</v>
      </c>
      <c r="M121" s="18" t="s">
        <v>3</v>
      </c>
    </row>
    <row r="122" spans="1:13" ht="14" customHeight="1" x14ac:dyDescent="0.3">
      <c r="A122" s="9">
        <v>1</v>
      </c>
      <c r="B122" s="9" t="s">
        <v>0</v>
      </c>
      <c r="C122" s="18" t="s">
        <v>12</v>
      </c>
      <c r="D122" s="10" t="s">
        <v>1808</v>
      </c>
      <c r="E122" s="18" t="s">
        <v>328</v>
      </c>
      <c r="F122" s="47" t="s">
        <v>329</v>
      </c>
      <c r="G122" s="49">
        <v>2300000</v>
      </c>
      <c r="H122" s="16">
        <v>2000000</v>
      </c>
      <c r="I122" s="16">
        <f>Table13[[#This Row],[Publish Rate]]-Table13[[#This Row],[Offering Corporate Rate 2026]]</f>
        <v>300000</v>
      </c>
      <c r="J122" s="17" t="str">
        <f>IF(Table13[[#This Row],[Nilai Selisih]]&gt;100000,"Recommend","Revise")</f>
        <v>Recommend</v>
      </c>
      <c r="K122" s="17" t="s">
        <v>3</v>
      </c>
      <c r="L122" s="10" t="s">
        <v>330</v>
      </c>
      <c r="M122" s="18" t="s">
        <v>3</v>
      </c>
    </row>
    <row r="123" spans="1:13" ht="14" customHeight="1" x14ac:dyDescent="0.3">
      <c r="A123" s="9">
        <v>1</v>
      </c>
      <c r="B123" s="9" t="s">
        <v>0</v>
      </c>
      <c r="C123" s="18" t="s">
        <v>12</v>
      </c>
      <c r="D123" s="10" t="s">
        <v>1808</v>
      </c>
      <c r="E123" s="10" t="s">
        <v>331</v>
      </c>
      <c r="F123" s="47" t="s">
        <v>332</v>
      </c>
      <c r="G123" s="49">
        <v>1038000</v>
      </c>
      <c r="H123" s="16">
        <v>943000</v>
      </c>
      <c r="I123" s="16">
        <f>Table13[[#This Row],[Publish Rate]]-Table13[[#This Row],[Offering Corporate Rate 2026]]</f>
        <v>95000</v>
      </c>
      <c r="J123" s="17" t="str">
        <f>IF(Table13[[#This Row],[Nilai Selisih]]&gt;100000,"Recommend","Revise")</f>
        <v>Revise</v>
      </c>
      <c r="K123" s="17" t="s">
        <v>3</v>
      </c>
      <c r="L123" s="10" t="s">
        <v>333</v>
      </c>
      <c r="M123" s="18" t="s">
        <v>3</v>
      </c>
    </row>
    <row r="124" spans="1:13" ht="14" customHeight="1" x14ac:dyDescent="0.3">
      <c r="A124" s="9">
        <v>1</v>
      </c>
      <c r="B124" s="9" t="s">
        <v>0</v>
      </c>
      <c r="C124" s="10" t="s">
        <v>12</v>
      </c>
      <c r="D124" s="10" t="s">
        <v>1808</v>
      </c>
      <c r="E124" s="10" t="s">
        <v>334</v>
      </c>
      <c r="F124" s="47" t="s">
        <v>335</v>
      </c>
      <c r="G124" s="49">
        <v>1648350</v>
      </c>
      <c r="H124" s="16">
        <v>1250000</v>
      </c>
      <c r="I124" s="16">
        <f>Table13[[#This Row],[Publish Rate]]-Table13[[#This Row],[Offering Corporate Rate 2026]]</f>
        <v>398350</v>
      </c>
      <c r="J124" s="17" t="str">
        <f>IF(Table13[[#This Row],[Nilai Selisih]]&gt;100000,"Recommend","Revise")</f>
        <v>Recommend</v>
      </c>
      <c r="K124" s="17" t="s">
        <v>3</v>
      </c>
      <c r="L124" s="10" t="s">
        <v>336</v>
      </c>
      <c r="M124" s="18" t="s">
        <v>3</v>
      </c>
    </row>
    <row r="125" spans="1:13" ht="14" customHeight="1" x14ac:dyDescent="0.3">
      <c r="A125" s="9">
        <v>1</v>
      </c>
      <c r="B125" s="9" t="s">
        <v>0</v>
      </c>
      <c r="C125" s="10" t="s">
        <v>12</v>
      </c>
      <c r="D125" s="10" t="s">
        <v>1808</v>
      </c>
      <c r="E125" s="10" t="s">
        <v>337</v>
      </c>
      <c r="F125" s="47" t="s">
        <v>338</v>
      </c>
      <c r="G125" s="50">
        <v>1488300</v>
      </c>
      <c r="H125" s="16">
        <v>1300000</v>
      </c>
      <c r="I125" s="16">
        <f>Table13[[#This Row],[Publish Rate]]-Table13[[#This Row],[Offering Corporate Rate 2026]]</f>
        <v>188300</v>
      </c>
      <c r="J125" s="17" t="str">
        <f>IF(Table13[[#This Row],[Nilai Selisih]]&gt;100000,"Recommend","Revise")</f>
        <v>Recommend</v>
      </c>
      <c r="K125" s="17" t="s">
        <v>3</v>
      </c>
      <c r="L125" s="10" t="s">
        <v>339</v>
      </c>
      <c r="M125" s="18" t="s">
        <v>3</v>
      </c>
    </row>
    <row r="126" spans="1:13" ht="14" customHeight="1" x14ac:dyDescent="0.3">
      <c r="A126" s="9">
        <v>1</v>
      </c>
      <c r="B126" s="9" t="s">
        <v>0</v>
      </c>
      <c r="C126" s="10" t="s">
        <v>12</v>
      </c>
      <c r="D126" s="10" t="s">
        <v>1808</v>
      </c>
      <c r="E126" s="10" t="s">
        <v>340</v>
      </c>
      <c r="F126" s="47" t="s">
        <v>341</v>
      </c>
      <c r="G126" s="49">
        <v>1512500</v>
      </c>
      <c r="H126" s="16">
        <v>1149500</v>
      </c>
      <c r="I126" s="16">
        <f>Table13[[#This Row],[Publish Rate]]-Table13[[#This Row],[Offering Corporate Rate 2026]]</f>
        <v>363000</v>
      </c>
      <c r="J126" s="17" t="str">
        <f>IF(Table13[[#This Row],[Nilai Selisih]]&gt;100000,"Recommend","Revise")</f>
        <v>Recommend</v>
      </c>
      <c r="K126" s="17" t="s">
        <v>3</v>
      </c>
      <c r="L126" s="10" t="s">
        <v>342</v>
      </c>
      <c r="M126" s="18" t="s">
        <v>3</v>
      </c>
    </row>
    <row r="127" spans="1:13" ht="14" customHeight="1" x14ac:dyDescent="0.3">
      <c r="A127" s="9">
        <v>1</v>
      </c>
      <c r="B127" s="9" t="s">
        <v>0</v>
      </c>
      <c r="C127" s="10" t="s">
        <v>12</v>
      </c>
      <c r="D127" s="10" t="s">
        <v>1268</v>
      </c>
      <c r="E127" s="10" t="s">
        <v>343</v>
      </c>
      <c r="F127" s="47" t="s">
        <v>344</v>
      </c>
      <c r="G127" s="49">
        <v>1509926</v>
      </c>
      <c r="H127" s="16">
        <v>1385000</v>
      </c>
      <c r="I127" s="16">
        <f>Table13[[#This Row],[Publish Rate]]-Table13[[#This Row],[Offering Corporate Rate 2026]]</f>
        <v>124926</v>
      </c>
      <c r="J127" s="17" t="str">
        <f>IF(Table13[[#This Row],[Nilai Selisih]]&gt;100000,"Recommend","Revise")</f>
        <v>Recommend</v>
      </c>
      <c r="K127" s="17" t="s">
        <v>3</v>
      </c>
      <c r="L127" s="10" t="s">
        <v>345</v>
      </c>
      <c r="M127" s="18" t="s">
        <v>3</v>
      </c>
    </row>
    <row r="128" spans="1:13" ht="14" customHeight="1" x14ac:dyDescent="0.3">
      <c r="A128" s="9">
        <v>1</v>
      </c>
      <c r="B128" s="9" t="s">
        <v>0</v>
      </c>
      <c r="C128" s="10" t="s">
        <v>12</v>
      </c>
      <c r="D128" s="10" t="s">
        <v>1268</v>
      </c>
      <c r="E128" s="10" t="s">
        <v>346</v>
      </c>
      <c r="F128" s="47" t="s">
        <v>347</v>
      </c>
      <c r="G128" s="49">
        <v>1256198</v>
      </c>
      <c r="H128" s="16">
        <v>1690000</v>
      </c>
      <c r="I128" s="16">
        <f>Table13[[#This Row],[Publish Rate]]-Table13[[#This Row],[Offering Corporate Rate 2026]]</f>
        <v>-433802</v>
      </c>
      <c r="J128" s="17" t="str">
        <f>IF(Table13[[#This Row],[Nilai Selisih]]&gt;100000,"Recommend","Revise")</f>
        <v>Revise</v>
      </c>
      <c r="K128" s="17" t="s">
        <v>3</v>
      </c>
      <c r="L128" s="66" t="s">
        <v>348</v>
      </c>
      <c r="M128" s="18" t="s">
        <v>3</v>
      </c>
    </row>
    <row r="129" spans="1:13" ht="14" customHeight="1" x14ac:dyDescent="0.3">
      <c r="A129" s="9">
        <v>1</v>
      </c>
      <c r="B129" s="9" t="s">
        <v>0</v>
      </c>
      <c r="C129" s="10" t="s">
        <v>12</v>
      </c>
      <c r="D129" s="10" t="s">
        <v>1806</v>
      </c>
      <c r="E129" s="10" t="s">
        <v>349</v>
      </c>
      <c r="F129" s="47" t="s">
        <v>350</v>
      </c>
      <c r="G129" s="49">
        <v>1330000</v>
      </c>
      <c r="H129" s="16">
        <v>810000</v>
      </c>
      <c r="I129" s="16">
        <f>Table13[[#This Row],[Publish Rate]]-Table13[[#This Row],[Offering Corporate Rate 2026]]</f>
        <v>520000</v>
      </c>
      <c r="J129" s="17" t="str">
        <f>IF(Table13[[#This Row],[Nilai Selisih]]&gt;100000,"Recommend","Revise")</f>
        <v>Recommend</v>
      </c>
      <c r="K129" s="17" t="s">
        <v>3</v>
      </c>
      <c r="L129" s="10" t="s">
        <v>351</v>
      </c>
      <c r="M129" s="18" t="s">
        <v>3</v>
      </c>
    </row>
    <row r="130" spans="1:13" ht="14" customHeight="1" x14ac:dyDescent="0.3">
      <c r="A130" s="9">
        <v>1</v>
      </c>
      <c r="B130" s="9" t="s">
        <v>0</v>
      </c>
      <c r="C130" s="10" t="s">
        <v>12</v>
      </c>
      <c r="D130" s="10" t="s">
        <v>1806</v>
      </c>
      <c r="E130" s="10" t="s">
        <v>352</v>
      </c>
      <c r="F130" s="47" t="s">
        <v>353</v>
      </c>
      <c r="G130" s="49">
        <v>1088000</v>
      </c>
      <c r="H130" s="16">
        <v>818000</v>
      </c>
      <c r="I130" s="16">
        <f>Table13[[#This Row],[Publish Rate]]-Table13[[#This Row],[Offering Corporate Rate 2026]]</f>
        <v>270000</v>
      </c>
      <c r="J130" s="17" t="str">
        <f>IF(Table13[[#This Row],[Nilai Selisih]]&gt;100000,"Recommend","Revise")</f>
        <v>Recommend</v>
      </c>
      <c r="K130" s="17" t="s">
        <v>3</v>
      </c>
      <c r="L130" s="10" t="s">
        <v>354</v>
      </c>
      <c r="M130" s="18" t="s">
        <v>3</v>
      </c>
    </row>
    <row r="131" spans="1:13" ht="14" customHeight="1" x14ac:dyDescent="0.3">
      <c r="A131" s="9">
        <v>1</v>
      </c>
      <c r="B131" s="9" t="s">
        <v>0</v>
      </c>
      <c r="C131" s="10" t="s">
        <v>12</v>
      </c>
      <c r="D131" s="10" t="s">
        <v>1806</v>
      </c>
      <c r="E131" s="10" t="s">
        <v>19</v>
      </c>
      <c r="F131" s="47" t="s">
        <v>355</v>
      </c>
      <c r="G131" s="49">
        <v>1288000</v>
      </c>
      <c r="H131" s="16">
        <v>858000</v>
      </c>
      <c r="I131" s="16">
        <f>Table13[[#This Row],[Publish Rate]]-Table13[[#This Row],[Offering Corporate Rate 2026]]</f>
        <v>430000</v>
      </c>
      <c r="J131" s="17" t="str">
        <f>IF(Table13[[#This Row],[Nilai Selisih]]&gt;100000,"Recommend","Revise")</f>
        <v>Recommend</v>
      </c>
      <c r="K131" s="17" t="s">
        <v>3</v>
      </c>
      <c r="L131" s="10" t="s">
        <v>356</v>
      </c>
      <c r="M131" s="18" t="s">
        <v>3</v>
      </c>
    </row>
    <row r="132" spans="1:13" ht="14" customHeight="1" x14ac:dyDescent="0.3">
      <c r="A132" s="9">
        <v>1</v>
      </c>
      <c r="B132" s="9" t="s">
        <v>0</v>
      </c>
      <c r="C132" s="10" t="s">
        <v>12</v>
      </c>
      <c r="D132" s="10" t="s">
        <v>1806</v>
      </c>
      <c r="E132" s="10" t="s">
        <v>357</v>
      </c>
      <c r="F132" s="47" t="s">
        <v>353</v>
      </c>
      <c r="G132" s="49">
        <v>1130000</v>
      </c>
      <c r="H132" s="16">
        <v>650000</v>
      </c>
      <c r="I132" s="16">
        <f>Table13[[#This Row],[Publish Rate]]-Table13[[#This Row],[Offering Corporate Rate 2026]]</f>
        <v>480000</v>
      </c>
      <c r="J132" s="17" t="str">
        <f>IF(Table13[[#This Row],[Nilai Selisih]]&gt;100000,"Recommend","Revise")</f>
        <v>Recommend</v>
      </c>
      <c r="K132" s="17" t="s">
        <v>3</v>
      </c>
      <c r="L132" s="10" t="s">
        <v>358</v>
      </c>
      <c r="M132" s="18" t="s">
        <v>3</v>
      </c>
    </row>
    <row r="133" spans="1:13" ht="14" customHeight="1" x14ac:dyDescent="0.3">
      <c r="A133" s="9">
        <v>1</v>
      </c>
      <c r="B133" s="9" t="s">
        <v>0</v>
      </c>
      <c r="C133" s="10" t="s">
        <v>12</v>
      </c>
      <c r="D133" s="10" t="s">
        <v>1806</v>
      </c>
      <c r="E133" s="10" t="s">
        <v>359</v>
      </c>
      <c r="F133" s="47" t="s">
        <v>360</v>
      </c>
      <c r="G133" s="49">
        <v>950000</v>
      </c>
      <c r="H133" s="16">
        <v>620000</v>
      </c>
      <c r="I133" s="16">
        <f>Table13[[#This Row],[Publish Rate]]-Table13[[#This Row],[Offering Corporate Rate 2026]]</f>
        <v>330000</v>
      </c>
      <c r="J133" s="17" t="str">
        <f>IF(Table13[[#This Row],[Nilai Selisih]]&gt;100000,"Recommend","Revise")</f>
        <v>Recommend</v>
      </c>
      <c r="K133" s="17" t="s">
        <v>3</v>
      </c>
      <c r="L133" s="10" t="s">
        <v>361</v>
      </c>
      <c r="M133" s="18" t="s">
        <v>3</v>
      </c>
    </row>
    <row r="134" spans="1:13" ht="14" customHeight="1" x14ac:dyDescent="0.3">
      <c r="A134" s="9">
        <v>1</v>
      </c>
      <c r="B134" s="9" t="s">
        <v>0</v>
      </c>
      <c r="C134" s="10" t="s">
        <v>12</v>
      </c>
      <c r="D134" s="10" t="s">
        <v>362</v>
      </c>
      <c r="E134" s="10" t="s">
        <v>363</v>
      </c>
      <c r="F134" s="47" t="s">
        <v>364</v>
      </c>
      <c r="G134" s="49">
        <f>2010000/3</f>
        <v>670000</v>
      </c>
      <c r="H134" s="16">
        <v>645000</v>
      </c>
      <c r="I134" s="16">
        <f>Table13[[#This Row],[Publish Rate]]-Table13[[#This Row],[Offering Corporate Rate 2026]]</f>
        <v>25000</v>
      </c>
      <c r="J134" s="17" t="str">
        <f>IF(Table13[[#This Row],[Nilai Selisih]]&gt;100000,"Recommend","Revise")</f>
        <v>Revise</v>
      </c>
      <c r="K134" s="17" t="s">
        <v>3</v>
      </c>
      <c r="L134" s="10" t="s">
        <v>365</v>
      </c>
      <c r="M134" s="18" t="s">
        <v>3</v>
      </c>
    </row>
    <row r="135" spans="1:13" ht="14" customHeight="1" x14ac:dyDescent="0.3">
      <c r="A135" s="9">
        <v>1</v>
      </c>
      <c r="B135" s="9" t="s">
        <v>0</v>
      </c>
      <c r="C135" s="10" t="s">
        <v>12</v>
      </c>
      <c r="D135" s="10" t="s">
        <v>1810</v>
      </c>
      <c r="E135" s="10" t="s">
        <v>366</v>
      </c>
      <c r="F135" s="47" t="s">
        <v>367</v>
      </c>
      <c r="G135" s="50">
        <v>843000</v>
      </c>
      <c r="H135" s="16">
        <v>503000</v>
      </c>
      <c r="I135" s="16">
        <f>Table13[[#This Row],[Publish Rate]]-Table13[[#This Row],[Offering Corporate Rate 2026]]</f>
        <v>340000</v>
      </c>
      <c r="J135" s="17" t="str">
        <f>IF(Table13[[#This Row],[Nilai Selisih]]&gt;100000,"Recommend","Revise")</f>
        <v>Recommend</v>
      </c>
      <c r="K135" s="17" t="s">
        <v>3</v>
      </c>
      <c r="L135" s="10" t="s">
        <v>368</v>
      </c>
      <c r="M135" s="18" t="s">
        <v>3</v>
      </c>
    </row>
    <row r="136" spans="1:13" ht="14" customHeight="1" x14ac:dyDescent="0.3">
      <c r="A136" s="9">
        <v>1</v>
      </c>
      <c r="B136" s="9" t="s">
        <v>0</v>
      </c>
      <c r="C136" s="10" t="s">
        <v>12</v>
      </c>
      <c r="D136" s="10" t="s">
        <v>1804</v>
      </c>
      <c r="E136" s="10" t="s">
        <v>369</v>
      </c>
      <c r="F136" s="47" t="s">
        <v>370</v>
      </c>
      <c r="G136" s="49">
        <v>760000</v>
      </c>
      <c r="H136" s="16">
        <v>665000</v>
      </c>
      <c r="I136" s="16">
        <f>Table13[[#This Row],[Publish Rate]]-Table13[[#This Row],[Offering Corporate Rate 2026]]</f>
        <v>95000</v>
      </c>
      <c r="J136" s="17" t="str">
        <f>IF(Table13[[#This Row],[Nilai Selisih]]&gt;100000,"Recommend","Revise")</f>
        <v>Revise</v>
      </c>
      <c r="K136" s="17" t="s">
        <v>3</v>
      </c>
      <c r="L136" s="10" t="s">
        <v>371</v>
      </c>
      <c r="M136" s="18" t="s">
        <v>3</v>
      </c>
    </row>
    <row r="137" spans="1:13" ht="14" customHeight="1" x14ac:dyDescent="0.3">
      <c r="A137" s="9">
        <v>1</v>
      </c>
      <c r="B137" s="9" t="s">
        <v>0</v>
      </c>
      <c r="C137" s="10" t="s">
        <v>12</v>
      </c>
      <c r="D137" s="10" t="s">
        <v>1804</v>
      </c>
      <c r="E137" s="10" t="s">
        <v>32</v>
      </c>
      <c r="F137" s="47" t="s">
        <v>372</v>
      </c>
      <c r="G137" s="49">
        <v>848000</v>
      </c>
      <c r="H137" s="16">
        <v>718000</v>
      </c>
      <c r="I137" s="16">
        <f>Table13[[#This Row],[Publish Rate]]-Table13[[#This Row],[Offering Corporate Rate 2026]]</f>
        <v>130000</v>
      </c>
      <c r="J137" s="17" t="str">
        <f>IF(Table13[[#This Row],[Nilai Selisih]]&gt;100000,"Recommend","Revise")</f>
        <v>Recommend</v>
      </c>
      <c r="K137" s="17" t="s">
        <v>3</v>
      </c>
      <c r="L137" s="10" t="s">
        <v>373</v>
      </c>
      <c r="M137" s="18" t="s">
        <v>3</v>
      </c>
    </row>
    <row r="138" spans="1:13" ht="14" customHeight="1" x14ac:dyDescent="0.3">
      <c r="A138" s="9">
        <v>1</v>
      </c>
      <c r="B138" s="9" t="s">
        <v>0</v>
      </c>
      <c r="C138" s="10" t="s">
        <v>12</v>
      </c>
      <c r="D138" s="10" t="s">
        <v>1804</v>
      </c>
      <c r="E138" s="10" t="s">
        <v>374</v>
      </c>
      <c r="F138" s="47" t="s">
        <v>375</v>
      </c>
      <c r="G138" s="49">
        <f>(1980000+450000)/3</f>
        <v>810000</v>
      </c>
      <c r="H138" s="16">
        <v>690000</v>
      </c>
      <c r="I138" s="16">
        <f>Table13[[#This Row],[Publish Rate]]-Table13[[#This Row],[Offering Corporate Rate 2026]]</f>
        <v>120000</v>
      </c>
      <c r="J138" s="17" t="str">
        <f>IF(Table13[[#This Row],[Nilai Selisih]]&gt;100000,"Recommend","Revise")</f>
        <v>Recommend</v>
      </c>
      <c r="K138" s="17" t="s">
        <v>3</v>
      </c>
      <c r="L138" s="10" t="s">
        <v>376</v>
      </c>
      <c r="M138" s="18" t="s">
        <v>3</v>
      </c>
    </row>
    <row r="139" spans="1:13" ht="14" customHeight="1" x14ac:dyDescent="0.3">
      <c r="A139" s="9">
        <v>1</v>
      </c>
      <c r="B139" s="9" t="s">
        <v>0</v>
      </c>
      <c r="C139" s="10" t="s">
        <v>12</v>
      </c>
      <c r="D139" s="10" t="s">
        <v>724</v>
      </c>
      <c r="E139" s="10" t="s">
        <v>377</v>
      </c>
      <c r="F139" s="47" t="s">
        <v>378</v>
      </c>
      <c r="G139" s="49">
        <v>650000</v>
      </c>
      <c r="H139" s="16">
        <v>450000</v>
      </c>
      <c r="I139" s="16">
        <f>Table13[[#This Row],[Publish Rate]]-Table13[[#This Row],[Offering Corporate Rate 2026]]</f>
        <v>200000</v>
      </c>
      <c r="J139" s="17" t="str">
        <f>IF(Table13[[#This Row],[Nilai Selisih]]&gt;100000,"Recommend","Revise")</f>
        <v>Recommend</v>
      </c>
      <c r="K139" s="17" t="s">
        <v>3</v>
      </c>
      <c r="L139" s="10" t="s">
        <v>379</v>
      </c>
      <c r="M139" s="18" t="s">
        <v>3</v>
      </c>
    </row>
    <row r="140" spans="1:13" ht="14" customHeight="1" x14ac:dyDescent="0.3">
      <c r="A140" s="9">
        <v>1</v>
      </c>
      <c r="B140" s="9" t="s">
        <v>0</v>
      </c>
      <c r="C140" s="10" t="s">
        <v>12</v>
      </c>
      <c r="D140" s="10" t="s">
        <v>724</v>
      </c>
      <c r="E140" s="18" t="s">
        <v>380</v>
      </c>
      <c r="F140" s="47" t="s">
        <v>381</v>
      </c>
      <c r="G140" s="49">
        <v>810000</v>
      </c>
      <c r="H140" s="53">
        <v>620000</v>
      </c>
      <c r="I140" s="16">
        <f>Table13[[#This Row],[Publish Rate]]-Table13[[#This Row],[Offering Corporate Rate 2026]]</f>
        <v>190000</v>
      </c>
      <c r="J140" s="17" t="str">
        <f>IF(Table13[[#This Row],[Nilai Selisih]]&gt;100000,"Recommend","Revise")</f>
        <v>Recommend</v>
      </c>
      <c r="K140" s="17" t="s">
        <v>3</v>
      </c>
      <c r="L140" s="10" t="s">
        <v>382</v>
      </c>
      <c r="M140" s="18" t="s">
        <v>3</v>
      </c>
    </row>
    <row r="141" spans="1:13" ht="14" customHeight="1" x14ac:dyDescent="0.3">
      <c r="A141" s="9">
        <v>1</v>
      </c>
      <c r="B141" s="9" t="s">
        <v>0</v>
      </c>
      <c r="C141" s="10" t="s">
        <v>12</v>
      </c>
      <c r="D141" s="10" t="s">
        <v>724</v>
      </c>
      <c r="E141" s="18" t="s">
        <v>383</v>
      </c>
      <c r="F141" s="47" t="s">
        <v>384</v>
      </c>
      <c r="G141" s="49">
        <v>795000</v>
      </c>
      <c r="H141" s="16">
        <v>750000</v>
      </c>
      <c r="I141" s="16">
        <f>Table13[[#This Row],[Publish Rate]]-Table13[[#This Row],[Offering Corporate Rate 2026]]</f>
        <v>45000</v>
      </c>
      <c r="J141" s="17" t="str">
        <f>IF(Table13[[#This Row],[Nilai Selisih]]&gt;100000,"Recommend","Revise")</f>
        <v>Revise</v>
      </c>
      <c r="K141" s="17" t="s">
        <v>3</v>
      </c>
      <c r="L141" s="10" t="s">
        <v>385</v>
      </c>
      <c r="M141" s="18" t="s">
        <v>3</v>
      </c>
    </row>
    <row r="142" spans="1:13" ht="14" customHeight="1" x14ac:dyDescent="0.3">
      <c r="A142" s="9">
        <v>1</v>
      </c>
      <c r="B142" s="9" t="s">
        <v>0</v>
      </c>
      <c r="C142" s="10" t="s">
        <v>12</v>
      </c>
      <c r="D142" s="10" t="s">
        <v>724</v>
      </c>
      <c r="E142" s="10" t="s">
        <v>386</v>
      </c>
      <c r="G142" s="49">
        <v>850000</v>
      </c>
      <c r="H142" s="16">
        <v>760000</v>
      </c>
      <c r="I142" s="16">
        <f>Table13[[#This Row],[Publish Rate]]-Table13[[#This Row],[Offering Corporate Rate 2026]]</f>
        <v>90000</v>
      </c>
      <c r="J142" s="17" t="str">
        <f>IF(Table13[[#This Row],[Nilai Selisih]]&gt;100000,"Recommend","Revise")</f>
        <v>Revise</v>
      </c>
      <c r="K142" s="17" t="s">
        <v>3</v>
      </c>
      <c r="L142" s="10" t="s">
        <v>387</v>
      </c>
      <c r="M142" s="18" t="s">
        <v>3</v>
      </c>
    </row>
    <row r="143" spans="1:13" ht="14" customHeight="1" x14ac:dyDescent="0.3">
      <c r="A143" s="9">
        <v>1</v>
      </c>
      <c r="B143" s="9" t="s">
        <v>0</v>
      </c>
      <c r="C143" s="10" t="s">
        <v>12</v>
      </c>
      <c r="D143" s="10" t="s">
        <v>724</v>
      </c>
      <c r="E143" s="10" t="s">
        <v>388</v>
      </c>
      <c r="F143" s="47" t="s">
        <v>389</v>
      </c>
      <c r="G143" s="49">
        <v>1080000</v>
      </c>
      <c r="H143" s="16">
        <v>750000</v>
      </c>
      <c r="I143" s="16">
        <f>Table13[[#This Row],[Publish Rate]]-Table13[[#This Row],[Offering Corporate Rate 2026]]</f>
        <v>330000</v>
      </c>
      <c r="J143" s="17" t="str">
        <f>IF(Table13[[#This Row],[Nilai Selisih]]&gt;100000,"Recommend","Revise")</f>
        <v>Recommend</v>
      </c>
      <c r="K143" s="17" t="s">
        <v>3</v>
      </c>
      <c r="L143" s="10" t="s">
        <v>390</v>
      </c>
      <c r="M143" s="18" t="s">
        <v>3</v>
      </c>
    </row>
    <row r="144" spans="1:13" ht="14" customHeight="1" x14ac:dyDescent="0.3">
      <c r="A144" s="9">
        <v>1</v>
      </c>
      <c r="B144" s="9" t="s">
        <v>0</v>
      </c>
      <c r="C144" s="10" t="s">
        <v>12</v>
      </c>
      <c r="D144" s="10" t="s">
        <v>724</v>
      </c>
      <c r="E144" s="10" t="s">
        <v>391</v>
      </c>
      <c r="F144" s="47" t="s">
        <v>381</v>
      </c>
      <c r="G144" s="49">
        <v>460000</v>
      </c>
      <c r="H144" s="16">
        <v>360000</v>
      </c>
      <c r="I144" s="16">
        <f>Table13[[#This Row],[Publish Rate]]-Table13[[#This Row],[Offering Corporate Rate 2026]]</f>
        <v>100000</v>
      </c>
      <c r="J144" s="17" t="str">
        <f>IF(Table13[[#This Row],[Nilai Selisih]]&gt;100000,"Recommend","Revise")</f>
        <v>Revise</v>
      </c>
      <c r="K144" s="17" t="s">
        <v>3</v>
      </c>
      <c r="L144" s="10" t="s">
        <v>392</v>
      </c>
      <c r="M144" s="18" t="s">
        <v>3</v>
      </c>
    </row>
    <row r="145" spans="1:13" ht="14" customHeight="1" x14ac:dyDescent="0.3">
      <c r="A145" s="9">
        <v>1</v>
      </c>
      <c r="B145" s="9" t="s">
        <v>0</v>
      </c>
      <c r="C145" s="10" t="s">
        <v>12</v>
      </c>
      <c r="D145" s="10" t="s">
        <v>724</v>
      </c>
      <c r="E145" s="18" t="s">
        <v>393</v>
      </c>
      <c r="F145" s="47" t="s">
        <v>394</v>
      </c>
      <c r="G145" s="49">
        <v>808000</v>
      </c>
      <c r="H145" s="16">
        <v>583000</v>
      </c>
      <c r="I145" s="16">
        <f>Table13[[#This Row],[Publish Rate]]-Table13[[#This Row],[Offering Corporate Rate 2026]]</f>
        <v>225000</v>
      </c>
      <c r="J145" s="17" t="str">
        <f>IF(Table13[[#This Row],[Nilai Selisih]]&gt;100000,"Recommend","Revise")</f>
        <v>Recommend</v>
      </c>
      <c r="K145" s="17" t="s">
        <v>3</v>
      </c>
      <c r="L145" s="10" t="s">
        <v>395</v>
      </c>
      <c r="M145" s="18" t="s">
        <v>3</v>
      </c>
    </row>
    <row r="146" spans="1:13" ht="14" customHeight="1" x14ac:dyDescent="0.3">
      <c r="A146" s="9">
        <v>1</v>
      </c>
      <c r="B146" s="9" t="s">
        <v>0</v>
      </c>
      <c r="C146" s="10" t="s">
        <v>12</v>
      </c>
      <c r="D146" s="10" t="s">
        <v>1269</v>
      </c>
      <c r="E146" s="18" t="s">
        <v>239</v>
      </c>
      <c r="F146" s="47" t="s">
        <v>396</v>
      </c>
      <c r="G146" s="49">
        <v>730000</v>
      </c>
      <c r="H146" s="16">
        <v>550000</v>
      </c>
      <c r="I146" s="16">
        <f>Table13[[#This Row],[Publish Rate]]-Table13[[#This Row],[Offering Corporate Rate 2026]]</f>
        <v>180000</v>
      </c>
      <c r="J146" s="17" t="str">
        <f>IF(Table13[[#This Row],[Nilai Selisih]]&gt;100000,"Recommend","Revise")</f>
        <v>Recommend</v>
      </c>
      <c r="K146" s="17" t="s">
        <v>3</v>
      </c>
      <c r="L146" s="18" t="s">
        <v>397</v>
      </c>
      <c r="M146" s="18" t="s">
        <v>3</v>
      </c>
    </row>
    <row r="147" spans="1:13" ht="14" customHeight="1" x14ac:dyDescent="0.3">
      <c r="A147" s="9">
        <v>1</v>
      </c>
      <c r="B147" s="9" t="s">
        <v>0</v>
      </c>
      <c r="C147" s="10" t="s">
        <v>12</v>
      </c>
      <c r="D147" s="10" t="s">
        <v>724</v>
      </c>
      <c r="E147" s="18" t="s">
        <v>398</v>
      </c>
      <c r="F147" s="47" t="s">
        <v>399</v>
      </c>
      <c r="G147" s="49">
        <v>918000</v>
      </c>
      <c r="H147" s="16">
        <v>720000</v>
      </c>
      <c r="I147" s="16">
        <f>Table13[[#This Row],[Publish Rate]]-Table13[[#This Row],[Offering Corporate Rate 2026]]</f>
        <v>198000</v>
      </c>
      <c r="J147" s="17" t="str">
        <f>IF(Table13[[#This Row],[Nilai Selisih]]&gt;100000,"Recommend","Revise")</f>
        <v>Recommend</v>
      </c>
      <c r="K147" s="17" t="s">
        <v>3</v>
      </c>
      <c r="L147" s="10" t="s">
        <v>400</v>
      </c>
      <c r="M147" s="18" t="s">
        <v>3</v>
      </c>
    </row>
    <row r="148" spans="1:13" ht="14" customHeight="1" x14ac:dyDescent="0.3">
      <c r="A148" s="9">
        <v>1</v>
      </c>
      <c r="B148" s="9" t="s">
        <v>0</v>
      </c>
      <c r="C148" s="10" t="s">
        <v>12</v>
      </c>
      <c r="D148" s="10" t="s">
        <v>724</v>
      </c>
      <c r="E148" s="18" t="s">
        <v>401</v>
      </c>
      <c r="F148" s="47" t="s">
        <v>402</v>
      </c>
      <c r="G148" s="49">
        <f>4185000/3</f>
        <v>1395000</v>
      </c>
      <c r="H148" s="16">
        <v>980000</v>
      </c>
      <c r="I148" s="16">
        <f>Table13[[#This Row],[Publish Rate]]-Table13[[#This Row],[Offering Corporate Rate 2026]]</f>
        <v>415000</v>
      </c>
      <c r="J148" s="17" t="str">
        <f>IF(Table13[[#This Row],[Nilai Selisih]]&gt;100000,"Recommend","Revise")</f>
        <v>Recommend</v>
      </c>
      <c r="K148" s="17" t="s">
        <v>3</v>
      </c>
      <c r="L148" s="10" t="s">
        <v>403</v>
      </c>
      <c r="M148" s="18" t="s">
        <v>3</v>
      </c>
    </row>
    <row r="149" spans="1:13" ht="14" customHeight="1" x14ac:dyDescent="0.3">
      <c r="A149" s="9">
        <v>1</v>
      </c>
      <c r="B149" s="9" t="s">
        <v>0</v>
      </c>
      <c r="C149" s="10" t="s">
        <v>12</v>
      </c>
      <c r="D149" s="10" t="s">
        <v>724</v>
      </c>
      <c r="E149" s="18" t="s">
        <v>404</v>
      </c>
      <c r="F149" s="47" t="s">
        <v>405</v>
      </c>
      <c r="G149" s="49">
        <v>1225000</v>
      </c>
      <c r="H149" s="16">
        <v>870000</v>
      </c>
      <c r="I149" s="16">
        <f>Table13[[#This Row],[Publish Rate]]-Table13[[#This Row],[Offering Corporate Rate 2026]]</f>
        <v>355000</v>
      </c>
      <c r="J149" s="17" t="str">
        <f>IF(Table13[[#This Row],[Nilai Selisih]]&gt;100000,"Recommend","Revise")</f>
        <v>Recommend</v>
      </c>
      <c r="K149" s="17" t="s">
        <v>3</v>
      </c>
      <c r="L149" s="10" t="s">
        <v>406</v>
      </c>
      <c r="M149" s="18" t="s">
        <v>3</v>
      </c>
    </row>
    <row r="150" spans="1:13" ht="14" customHeight="1" x14ac:dyDescent="0.3">
      <c r="A150" s="9">
        <v>1</v>
      </c>
      <c r="B150" s="9" t="s">
        <v>0</v>
      </c>
      <c r="C150" s="10" t="s">
        <v>12</v>
      </c>
      <c r="D150" s="10" t="s">
        <v>724</v>
      </c>
      <c r="E150" s="18" t="s">
        <v>407</v>
      </c>
      <c r="F150" s="47" t="s">
        <v>408</v>
      </c>
      <c r="G150" s="49">
        <v>1318000</v>
      </c>
      <c r="H150" s="53">
        <v>1088000</v>
      </c>
      <c r="I150" s="16">
        <f>Table13[[#This Row],[Publish Rate]]-Table13[[#This Row],[Offering Corporate Rate 2026]]</f>
        <v>230000</v>
      </c>
      <c r="J150" s="17" t="str">
        <f>IF(Table13[[#This Row],[Nilai Selisih]]&gt;100000,"Recommend","Revise")</f>
        <v>Recommend</v>
      </c>
      <c r="K150" s="17" t="s">
        <v>3</v>
      </c>
      <c r="L150" s="10" t="s">
        <v>409</v>
      </c>
      <c r="M150" s="18" t="s">
        <v>3</v>
      </c>
    </row>
    <row r="151" spans="1:13" ht="14" customHeight="1" x14ac:dyDescent="0.3">
      <c r="A151" s="9">
        <v>1</v>
      </c>
      <c r="B151" s="9" t="s">
        <v>0</v>
      </c>
      <c r="C151" s="10" t="s">
        <v>12</v>
      </c>
      <c r="D151" s="10" t="s">
        <v>724</v>
      </c>
      <c r="E151" s="18" t="s">
        <v>410</v>
      </c>
      <c r="F151" s="47" t="s">
        <v>408</v>
      </c>
      <c r="G151" s="49">
        <v>2058000</v>
      </c>
      <c r="H151" s="16">
        <v>1758000</v>
      </c>
      <c r="I151" s="16">
        <f>Table13[[#This Row],[Publish Rate]]-Table13[[#This Row],[Offering Corporate Rate 2026]]</f>
        <v>300000</v>
      </c>
      <c r="J151" s="17" t="str">
        <f>IF(Table13[[#This Row],[Nilai Selisih]]&gt;100000,"Recommend","Revise")</f>
        <v>Recommend</v>
      </c>
      <c r="K151" s="17" t="s">
        <v>3</v>
      </c>
      <c r="L151" s="10" t="s">
        <v>411</v>
      </c>
      <c r="M151" s="18" t="s">
        <v>3</v>
      </c>
    </row>
    <row r="152" spans="1:13" ht="14" customHeight="1" x14ac:dyDescent="0.3">
      <c r="A152" s="9">
        <v>1</v>
      </c>
      <c r="B152" s="9" t="s">
        <v>0</v>
      </c>
      <c r="C152" s="10" t="s">
        <v>12</v>
      </c>
      <c r="D152" s="10" t="s">
        <v>724</v>
      </c>
      <c r="E152" s="10" t="s">
        <v>412</v>
      </c>
      <c r="F152" s="47" t="s">
        <v>413</v>
      </c>
      <c r="G152" s="49">
        <f>924000/3</f>
        <v>308000</v>
      </c>
      <c r="H152" s="16">
        <v>323000</v>
      </c>
      <c r="I152" s="16">
        <f>Table13[[#This Row],[Publish Rate]]-Table13[[#This Row],[Offering Corporate Rate 2026]]</f>
        <v>-15000</v>
      </c>
      <c r="J152" s="17" t="str">
        <f>IF(Table13[[#This Row],[Nilai Selisih]]&gt;100000,"Recommend","Revise")</f>
        <v>Revise</v>
      </c>
      <c r="K152" s="17" t="s">
        <v>3</v>
      </c>
      <c r="L152" s="10" t="s">
        <v>414</v>
      </c>
      <c r="M152" s="18" t="s">
        <v>3</v>
      </c>
    </row>
    <row r="153" spans="1:13" ht="14" customHeight="1" x14ac:dyDescent="0.3">
      <c r="A153" s="9">
        <v>1</v>
      </c>
      <c r="B153" s="9" t="s">
        <v>0</v>
      </c>
      <c r="C153" s="10" t="s">
        <v>415</v>
      </c>
      <c r="D153" s="10" t="s">
        <v>1808</v>
      </c>
      <c r="E153" s="18" t="s">
        <v>323</v>
      </c>
      <c r="F153" s="47" t="s">
        <v>416</v>
      </c>
      <c r="G153" s="49">
        <v>2650000</v>
      </c>
      <c r="H153" s="49">
        <v>1850000</v>
      </c>
      <c r="I153" s="16">
        <f>Table13[[#This Row],[Publish Rate]]-Table13[[#This Row],[Offering Corporate Rate 2026]]</f>
        <v>800000</v>
      </c>
      <c r="J153" s="17" t="str">
        <f>IF(Table13[[#This Row],[Nilai Selisih]]&gt;100000,"Recommend","Revise")</f>
        <v>Recommend</v>
      </c>
      <c r="K153" s="17" t="s">
        <v>3</v>
      </c>
      <c r="L153" s="10" t="s">
        <v>417</v>
      </c>
      <c r="M153" s="18" t="s">
        <v>3</v>
      </c>
    </row>
    <row r="154" spans="1:13" ht="14" customHeight="1" x14ac:dyDescent="0.3">
      <c r="A154" s="9">
        <v>1</v>
      </c>
      <c r="B154" s="9" t="s">
        <v>0</v>
      </c>
      <c r="C154" s="48" t="s">
        <v>415</v>
      </c>
      <c r="D154" s="48" t="s">
        <v>1808</v>
      </c>
      <c r="E154" s="62" t="s">
        <v>418</v>
      </c>
      <c r="F154" s="63" t="s">
        <v>285</v>
      </c>
      <c r="G154" s="34">
        <v>1558000</v>
      </c>
      <c r="H154" s="34">
        <v>1223000</v>
      </c>
      <c r="I154" s="16">
        <f>Table13[[#This Row],[Publish Rate]]-Table13[[#This Row],[Offering Corporate Rate 2026]]</f>
        <v>335000</v>
      </c>
      <c r="J154" s="17" t="str">
        <f>IF(Table13[[#This Row],[Nilai Selisih]]&gt;100000,"Recommend","Revise")</f>
        <v>Recommend</v>
      </c>
      <c r="K154" s="17" t="s">
        <v>3</v>
      </c>
      <c r="L154" s="48" t="s">
        <v>419</v>
      </c>
      <c r="M154" s="18" t="s">
        <v>3</v>
      </c>
    </row>
    <row r="155" spans="1:13" ht="14" customHeight="1" x14ac:dyDescent="0.3">
      <c r="A155" s="9">
        <v>1</v>
      </c>
      <c r="B155" s="9" t="s">
        <v>0</v>
      </c>
      <c r="C155" s="10" t="s">
        <v>415</v>
      </c>
      <c r="D155" s="10" t="s">
        <v>1808</v>
      </c>
      <c r="E155" s="18" t="s">
        <v>420</v>
      </c>
      <c r="F155" s="1" t="s">
        <v>306</v>
      </c>
      <c r="G155" s="49">
        <v>2783000</v>
      </c>
      <c r="H155" s="16">
        <v>1827100</v>
      </c>
      <c r="I155" s="16">
        <f>Table13[[#This Row],[Publish Rate]]-Table13[[#This Row],[Offering Corporate Rate 2026]]</f>
        <v>955900</v>
      </c>
      <c r="J155" s="17" t="str">
        <f>IF(Table13[[#This Row],[Nilai Selisih]]&gt;100000,"Recommend","Revise")</f>
        <v>Recommend</v>
      </c>
      <c r="K155" s="17" t="s">
        <v>3</v>
      </c>
      <c r="L155" s="10" t="s">
        <v>421</v>
      </c>
      <c r="M155" s="18" t="s">
        <v>3</v>
      </c>
    </row>
    <row r="156" spans="1:13" ht="14" customHeight="1" x14ac:dyDescent="0.3">
      <c r="A156" s="9">
        <v>1</v>
      </c>
      <c r="B156" s="9" t="s">
        <v>0</v>
      </c>
      <c r="C156" s="10" t="s">
        <v>415</v>
      </c>
      <c r="D156" s="10" t="s">
        <v>1530</v>
      </c>
      <c r="E156" s="18" t="s">
        <v>422</v>
      </c>
      <c r="F156" s="47" t="s">
        <v>423</v>
      </c>
      <c r="G156" s="49">
        <v>823000</v>
      </c>
      <c r="H156" s="16">
        <v>663000</v>
      </c>
      <c r="I156" s="16">
        <f>Table13[[#This Row],[Publish Rate]]-Table13[[#This Row],[Offering Corporate Rate 2026]]</f>
        <v>160000</v>
      </c>
      <c r="J156" s="17" t="str">
        <f>IF(Table13[[#This Row],[Nilai Selisih]]&gt;100000,"Recommend","Revise")</f>
        <v>Recommend</v>
      </c>
      <c r="K156" s="17" t="s">
        <v>3</v>
      </c>
      <c r="L156" s="10" t="s">
        <v>424</v>
      </c>
      <c r="M156" s="18" t="s">
        <v>3</v>
      </c>
    </row>
    <row r="157" spans="1:13" ht="14" customHeight="1" x14ac:dyDescent="0.3">
      <c r="A157" s="9">
        <v>1</v>
      </c>
      <c r="B157" s="9" t="s">
        <v>0</v>
      </c>
      <c r="C157" s="10" t="s">
        <v>425</v>
      </c>
      <c r="D157" s="44" t="s">
        <v>1808</v>
      </c>
      <c r="E157" s="45" t="s">
        <v>426</v>
      </c>
      <c r="F157" s="1" t="s">
        <v>427</v>
      </c>
      <c r="G157" s="49">
        <v>920000</v>
      </c>
      <c r="H157" s="46">
        <v>705000</v>
      </c>
      <c r="I157" s="46">
        <f>Table13[[#This Row],[Publish Rate]]-Table13[[#This Row],[Offering Corporate Rate 2026]]</f>
        <v>215000</v>
      </c>
      <c r="J157" s="17" t="str">
        <f>IF(Table13[[#This Row],[Nilai Selisih]]&gt;100000,"Recommend","Revise")</f>
        <v>Recommend</v>
      </c>
      <c r="K157" s="17" t="s">
        <v>3</v>
      </c>
      <c r="L157" s="44" t="s">
        <v>428</v>
      </c>
      <c r="M157" s="18" t="s">
        <v>3</v>
      </c>
    </row>
    <row r="158" spans="1:13" ht="14" customHeight="1" x14ac:dyDescent="0.3">
      <c r="A158" s="9">
        <v>1</v>
      </c>
      <c r="B158" s="9" t="s">
        <v>0</v>
      </c>
      <c r="C158" s="10" t="s">
        <v>425</v>
      </c>
      <c r="D158" s="44" t="s">
        <v>1808</v>
      </c>
      <c r="E158" s="45" t="s">
        <v>429</v>
      </c>
      <c r="F158" s="1" t="s">
        <v>430</v>
      </c>
      <c r="G158" s="49">
        <v>1150000</v>
      </c>
      <c r="H158" s="46">
        <v>750000</v>
      </c>
      <c r="I158" s="67">
        <f>Table13[[#This Row],[Publish Rate]]-Table13[[#This Row],[Offering Corporate Rate 2026]]</f>
        <v>400000</v>
      </c>
      <c r="J158" s="17" t="str">
        <f>IF(Table13[[#This Row],[Nilai Selisih]]&gt;100000,"Recommend","Revise")</f>
        <v>Recommend</v>
      </c>
      <c r="K158" s="17" t="s">
        <v>3</v>
      </c>
      <c r="L158" s="44" t="s">
        <v>431</v>
      </c>
      <c r="M158" s="18" t="s">
        <v>3</v>
      </c>
    </row>
    <row r="159" spans="1:13" ht="14" customHeight="1" x14ac:dyDescent="0.3">
      <c r="A159" s="9">
        <v>1</v>
      </c>
      <c r="B159" s="9" t="s">
        <v>0</v>
      </c>
      <c r="C159" s="10" t="s">
        <v>425</v>
      </c>
      <c r="D159" s="44" t="s">
        <v>1808</v>
      </c>
      <c r="E159" s="45" t="s">
        <v>432</v>
      </c>
      <c r="F159" s="1" t="s">
        <v>433</v>
      </c>
      <c r="G159" s="49">
        <v>825000</v>
      </c>
      <c r="H159" s="46">
        <v>620000</v>
      </c>
      <c r="I159" s="67">
        <f>Table13[[#This Row],[Publish Rate]]-Table13[[#This Row],[Offering Corporate Rate 2026]]</f>
        <v>205000</v>
      </c>
      <c r="J159" s="17" t="str">
        <f>IF(Table13[[#This Row],[Nilai Selisih]]&gt;100000,"Recommend","Revise")</f>
        <v>Recommend</v>
      </c>
      <c r="K159" s="17" t="s">
        <v>3</v>
      </c>
      <c r="L159" s="44" t="s">
        <v>434</v>
      </c>
      <c r="M159" s="18" t="s">
        <v>3</v>
      </c>
    </row>
    <row r="160" spans="1:13" ht="14" customHeight="1" x14ac:dyDescent="0.3">
      <c r="A160" s="9">
        <v>1</v>
      </c>
      <c r="B160" s="9" t="s">
        <v>0</v>
      </c>
      <c r="C160" s="10" t="s">
        <v>425</v>
      </c>
      <c r="D160" s="44" t="s">
        <v>724</v>
      </c>
      <c r="E160" s="45" t="s">
        <v>435</v>
      </c>
      <c r="F160" s="1" t="s">
        <v>436</v>
      </c>
      <c r="G160" s="49">
        <v>1097778</v>
      </c>
      <c r="H160" s="46">
        <v>830000</v>
      </c>
      <c r="I160" s="67">
        <f>Table13[[#This Row],[Publish Rate]]-Table13[[#This Row],[Offering Corporate Rate 2026]]</f>
        <v>267778</v>
      </c>
      <c r="J160" s="17" t="str">
        <f>IF(Table13[[#This Row],[Nilai Selisih]]&gt;100000,"Recommend","Revise")</f>
        <v>Recommend</v>
      </c>
      <c r="K160" s="17" t="s">
        <v>3</v>
      </c>
      <c r="L160" s="44" t="s">
        <v>431</v>
      </c>
      <c r="M160" s="18" t="s">
        <v>3</v>
      </c>
    </row>
    <row r="161" spans="1:13" ht="14" customHeight="1" x14ac:dyDescent="0.3">
      <c r="A161" s="9">
        <v>1</v>
      </c>
      <c r="B161" s="9" t="s">
        <v>0</v>
      </c>
      <c r="C161" s="10" t="s">
        <v>425</v>
      </c>
      <c r="D161" s="44" t="s">
        <v>724</v>
      </c>
      <c r="E161" s="45" t="s">
        <v>437</v>
      </c>
      <c r="F161" s="1" t="s">
        <v>438</v>
      </c>
      <c r="G161" s="49">
        <v>700000</v>
      </c>
      <c r="H161" s="46">
        <v>600000</v>
      </c>
      <c r="I161" s="67">
        <f>Table13[[#This Row],[Publish Rate]]-Table13[[#This Row],[Offering Corporate Rate 2026]]</f>
        <v>100000</v>
      </c>
      <c r="J161" s="17" t="str">
        <f>IF(Table13[[#This Row],[Nilai Selisih]]&gt;100000,"Recommend","Revise")</f>
        <v>Revise</v>
      </c>
      <c r="K161" s="17" t="s">
        <v>3</v>
      </c>
      <c r="L161" s="45" t="s">
        <v>431</v>
      </c>
      <c r="M161" s="18" t="s">
        <v>3</v>
      </c>
    </row>
    <row r="162" spans="1:13" ht="14" customHeight="1" x14ac:dyDescent="0.3">
      <c r="A162" s="9">
        <v>1</v>
      </c>
      <c r="B162" s="9" t="s">
        <v>0</v>
      </c>
      <c r="C162" s="10" t="s">
        <v>425</v>
      </c>
      <c r="D162" s="44" t="s">
        <v>724</v>
      </c>
      <c r="E162" s="45" t="s">
        <v>439</v>
      </c>
      <c r="F162" s="1" t="s">
        <v>440</v>
      </c>
      <c r="G162" s="49">
        <v>573750</v>
      </c>
      <c r="H162" s="46">
        <v>550000</v>
      </c>
      <c r="I162" s="67">
        <f>Table13[[#This Row],[Publish Rate]]-Table13[[#This Row],[Offering Corporate Rate 2026]]</f>
        <v>23750</v>
      </c>
      <c r="J162" s="17" t="str">
        <f>IF(Table13[[#This Row],[Nilai Selisih]]&gt;100000,"Recommend","Revise")</f>
        <v>Revise</v>
      </c>
      <c r="K162" s="17" t="s">
        <v>3</v>
      </c>
      <c r="L162" s="44" t="s">
        <v>441</v>
      </c>
      <c r="M162" s="18" t="s">
        <v>3</v>
      </c>
    </row>
    <row r="163" spans="1:13" ht="14" customHeight="1" x14ac:dyDescent="0.3">
      <c r="A163" s="9">
        <v>1</v>
      </c>
      <c r="B163" s="9" t="s">
        <v>0</v>
      </c>
      <c r="C163" s="10" t="s">
        <v>425</v>
      </c>
      <c r="D163" s="44" t="s">
        <v>1268</v>
      </c>
      <c r="E163" s="45" t="s">
        <v>442</v>
      </c>
      <c r="F163" s="1" t="s">
        <v>443</v>
      </c>
      <c r="G163" s="49">
        <v>808889</v>
      </c>
      <c r="H163" s="46">
        <v>688000</v>
      </c>
      <c r="I163" s="67">
        <f>Table13[[#This Row],[Publish Rate]]-Table13[[#This Row],[Offering Corporate Rate 2026]]</f>
        <v>120889</v>
      </c>
      <c r="J163" s="17" t="str">
        <f>IF(Table13[[#This Row],[Nilai Selisih]]&gt;100000,"Recommend","Revise")</f>
        <v>Recommend</v>
      </c>
      <c r="K163" s="17" t="s">
        <v>3</v>
      </c>
      <c r="L163" s="44" t="s">
        <v>431</v>
      </c>
      <c r="M163" s="18" t="s">
        <v>3</v>
      </c>
    </row>
    <row r="164" spans="1:13" ht="14" customHeight="1" x14ac:dyDescent="0.3">
      <c r="A164" s="9">
        <v>1</v>
      </c>
      <c r="B164" s="9" t="s">
        <v>0</v>
      </c>
      <c r="C164" s="10" t="s">
        <v>425</v>
      </c>
      <c r="D164" s="44" t="s">
        <v>30</v>
      </c>
      <c r="E164" s="45" t="s">
        <v>444</v>
      </c>
      <c r="F164" s="1" t="s">
        <v>445</v>
      </c>
      <c r="G164" s="49">
        <v>950000</v>
      </c>
      <c r="H164" s="46">
        <v>700000</v>
      </c>
      <c r="I164" s="67">
        <f>Table13[[#This Row],[Publish Rate]]-Table13[[#This Row],[Offering Corporate Rate 2026]]</f>
        <v>250000</v>
      </c>
      <c r="J164" s="17" t="str">
        <f>IF(Table13[[#This Row],[Nilai Selisih]]&gt;100000,"Recommend","Revise")</f>
        <v>Recommend</v>
      </c>
      <c r="K164" s="17" t="s">
        <v>3</v>
      </c>
      <c r="L164" s="44" t="s">
        <v>431</v>
      </c>
      <c r="M164" s="18" t="s">
        <v>3</v>
      </c>
    </row>
    <row r="165" spans="1:13" ht="14" customHeight="1" x14ac:dyDescent="0.3">
      <c r="A165" s="9">
        <v>1</v>
      </c>
      <c r="B165" s="9" t="s">
        <v>0</v>
      </c>
      <c r="C165" s="10" t="s">
        <v>425</v>
      </c>
      <c r="D165" s="44" t="s">
        <v>30</v>
      </c>
      <c r="E165" s="45" t="s">
        <v>446</v>
      </c>
      <c r="F165" s="1" t="s">
        <v>447</v>
      </c>
      <c r="G165" s="49">
        <v>1482624</v>
      </c>
      <c r="H165" s="46">
        <v>1018000</v>
      </c>
      <c r="I165" s="67">
        <f>Table13[[#This Row],[Publish Rate]]-Table13[[#This Row],[Offering Corporate Rate 2026]]</f>
        <v>464624</v>
      </c>
      <c r="J165" s="17" t="str">
        <f>IF(Table13[[#This Row],[Nilai Selisih]]&gt;100000,"Recommend","Revise")</f>
        <v>Recommend</v>
      </c>
      <c r="K165" s="17" t="s">
        <v>3</v>
      </c>
      <c r="L165" s="44" t="s">
        <v>441</v>
      </c>
      <c r="M165" s="18" t="s">
        <v>3</v>
      </c>
    </row>
    <row r="166" spans="1:13" ht="14" customHeight="1" x14ac:dyDescent="0.3">
      <c r="A166" s="9">
        <v>1</v>
      </c>
      <c r="B166" s="9" t="s">
        <v>0</v>
      </c>
      <c r="C166" s="10" t="s">
        <v>425</v>
      </c>
      <c r="D166" s="44" t="s">
        <v>30</v>
      </c>
      <c r="E166" s="45" t="s">
        <v>448</v>
      </c>
      <c r="F166" s="1"/>
      <c r="G166" s="49">
        <v>689740</v>
      </c>
      <c r="H166" s="46">
        <v>580000</v>
      </c>
      <c r="I166" s="67">
        <f>Table13[[#This Row],[Publish Rate]]-Table13[[#This Row],[Offering Corporate Rate 2026]]</f>
        <v>109740</v>
      </c>
      <c r="J166" s="17" t="str">
        <f>IF(Table13[[#This Row],[Nilai Selisih]]&gt;100000,"Recommend","Revise")</f>
        <v>Recommend</v>
      </c>
      <c r="K166" s="17" t="s">
        <v>3</v>
      </c>
      <c r="L166" s="44" t="s">
        <v>431</v>
      </c>
      <c r="M166" s="18" t="s">
        <v>3</v>
      </c>
    </row>
    <row r="167" spans="1:13" ht="14" customHeight="1" x14ac:dyDescent="0.3">
      <c r="A167" s="9">
        <v>1</v>
      </c>
      <c r="B167" s="9" t="s">
        <v>0</v>
      </c>
      <c r="C167" s="10" t="s">
        <v>425</v>
      </c>
      <c r="D167" s="44" t="s">
        <v>30</v>
      </c>
      <c r="E167" s="45" t="s">
        <v>449</v>
      </c>
      <c r="F167" s="1"/>
      <c r="G167" s="49">
        <v>850000</v>
      </c>
      <c r="H167" s="46">
        <v>600000</v>
      </c>
      <c r="I167" s="67">
        <f>Table13[[#This Row],[Publish Rate]]-Table13[[#This Row],[Offering Corporate Rate 2026]]</f>
        <v>250000</v>
      </c>
      <c r="J167" s="17" t="str">
        <f>IF(Table13[[#This Row],[Nilai Selisih]]&gt;100000,"Recommend","Revise")</f>
        <v>Recommend</v>
      </c>
      <c r="K167" s="17" t="s">
        <v>3</v>
      </c>
      <c r="L167" s="44" t="s">
        <v>431</v>
      </c>
      <c r="M167" s="18" t="s">
        <v>3</v>
      </c>
    </row>
    <row r="168" spans="1:13" ht="14" customHeight="1" x14ac:dyDescent="0.3">
      <c r="A168" s="9">
        <v>1</v>
      </c>
      <c r="B168" s="9" t="s">
        <v>0</v>
      </c>
      <c r="C168" s="10" t="s">
        <v>425</v>
      </c>
      <c r="D168" s="44" t="s">
        <v>1813</v>
      </c>
      <c r="E168" s="45" t="s">
        <v>450</v>
      </c>
      <c r="F168" s="1" t="s">
        <v>451</v>
      </c>
      <c r="G168" s="49">
        <v>673200</v>
      </c>
      <c r="H168" s="46">
        <v>730000</v>
      </c>
      <c r="I168" s="67">
        <f>Table13[[#This Row],[Publish Rate]]-Table13[[#This Row],[Offering Corporate Rate 2026]]</f>
        <v>-56800</v>
      </c>
      <c r="J168" s="17" t="str">
        <f>IF(Table13[[#This Row],[Nilai Selisih]]&gt;100000,"Recommend","Revise")</f>
        <v>Revise</v>
      </c>
      <c r="K168" s="17" t="s">
        <v>3</v>
      </c>
      <c r="L168" s="44" t="s">
        <v>431</v>
      </c>
      <c r="M168" s="18" t="s">
        <v>3</v>
      </c>
    </row>
    <row r="169" spans="1:13" ht="14" customHeight="1" x14ac:dyDescent="0.3">
      <c r="A169" s="9">
        <v>1</v>
      </c>
      <c r="B169" s="9" t="s">
        <v>0</v>
      </c>
      <c r="C169" s="69" t="s">
        <v>425</v>
      </c>
      <c r="D169" s="70" t="s">
        <v>881</v>
      </c>
      <c r="E169" s="45" t="s">
        <v>452</v>
      </c>
      <c r="F169" s="71" t="s">
        <v>453</v>
      </c>
      <c r="G169" s="72">
        <v>960000</v>
      </c>
      <c r="H169" s="74">
        <v>750000</v>
      </c>
      <c r="I169" s="75">
        <f>Table13[[#This Row],[Publish Rate]]-Table13[[#This Row],[Offering Corporate Rate 2026]]</f>
        <v>210000</v>
      </c>
      <c r="J169" s="76" t="str">
        <f>IF(Table13[[#This Row],[Nilai Selisih]]&gt;100000,"Recommend","Revise")</f>
        <v>Recommend</v>
      </c>
      <c r="K169" s="17" t="s">
        <v>3</v>
      </c>
      <c r="L169" s="70" t="s">
        <v>431</v>
      </c>
      <c r="M169" s="18" t="s">
        <v>3</v>
      </c>
    </row>
    <row r="170" spans="1:13" ht="14" customHeight="1" x14ac:dyDescent="0.3">
      <c r="A170" s="9">
        <v>1</v>
      </c>
      <c r="B170" s="9" t="s">
        <v>0</v>
      </c>
      <c r="C170" s="69" t="s">
        <v>425</v>
      </c>
      <c r="D170" s="70" t="s">
        <v>1565</v>
      </c>
      <c r="E170" s="45" t="s">
        <v>454</v>
      </c>
      <c r="F170" s="71" t="s">
        <v>455</v>
      </c>
      <c r="G170" s="72">
        <v>722500</v>
      </c>
      <c r="H170" s="74">
        <v>600000</v>
      </c>
      <c r="I170" s="75">
        <f>Table13[[#This Row],[Publish Rate]]-Table13[[#This Row],[Offering Corporate Rate 2026]]</f>
        <v>122500</v>
      </c>
      <c r="J170" s="76" t="str">
        <f>IF(Table13[[#This Row],[Nilai Selisih]]&gt;100000,"Recommend","Revise")</f>
        <v>Recommend</v>
      </c>
      <c r="K170" s="17" t="s">
        <v>3</v>
      </c>
      <c r="L170" s="70" t="s">
        <v>431</v>
      </c>
      <c r="M170" s="18" t="s">
        <v>3</v>
      </c>
    </row>
    <row r="171" spans="1:13" ht="14" customHeight="1" x14ac:dyDescent="0.3">
      <c r="A171" s="9">
        <v>1</v>
      </c>
      <c r="B171" s="9" t="s">
        <v>0</v>
      </c>
      <c r="C171" s="69" t="s">
        <v>425</v>
      </c>
      <c r="D171" s="70" t="s">
        <v>231</v>
      </c>
      <c r="E171" s="45" t="s">
        <v>456</v>
      </c>
      <c r="F171" s="71" t="s">
        <v>457</v>
      </c>
      <c r="G171" s="72">
        <v>600000</v>
      </c>
      <c r="H171" s="74">
        <v>560000</v>
      </c>
      <c r="I171" s="75">
        <f>Table13[[#This Row],[Publish Rate]]-Table13[[#This Row],[Offering Corporate Rate 2026]]</f>
        <v>40000</v>
      </c>
      <c r="J171" s="76" t="str">
        <f>IF(Table13[[#This Row],[Nilai Selisih]]&gt;100000,"Recommend","Revise")</f>
        <v>Revise</v>
      </c>
      <c r="K171" s="17" t="s">
        <v>3</v>
      </c>
      <c r="L171" s="70" t="s">
        <v>431</v>
      </c>
      <c r="M171" s="18" t="s">
        <v>3</v>
      </c>
    </row>
    <row r="172" spans="1:13" ht="14" customHeight="1" x14ac:dyDescent="0.3">
      <c r="A172" s="9">
        <v>1</v>
      </c>
      <c r="B172" s="9" t="s">
        <v>0</v>
      </c>
      <c r="C172" s="69" t="s">
        <v>425</v>
      </c>
      <c r="D172" s="69" t="s">
        <v>1815</v>
      </c>
      <c r="E172" s="18" t="s">
        <v>458</v>
      </c>
      <c r="F172" s="77" t="s">
        <v>459</v>
      </c>
      <c r="G172" s="72">
        <v>682000</v>
      </c>
      <c r="H172" s="73">
        <v>570000</v>
      </c>
      <c r="I172" s="53">
        <f>Table13[[#This Row],[Publish Rate]]-Table13[[#This Row],[Offering Corporate Rate 2026]]</f>
        <v>112000</v>
      </c>
      <c r="J172" s="76" t="str">
        <f>IF(Table13[[#This Row],[Nilai Selisih]]&gt;100000,"Recommend","Revise")</f>
        <v>Recommend</v>
      </c>
      <c r="K172" s="17" t="s">
        <v>3</v>
      </c>
      <c r="L172" s="70" t="s">
        <v>431</v>
      </c>
      <c r="M172" s="18" t="s">
        <v>3</v>
      </c>
    </row>
    <row r="173" spans="1:13" ht="14" customHeight="1" x14ac:dyDescent="0.3">
      <c r="A173" s="9">
        <v>1</v>
      </c>
      <c r="B173" s="9" t="s">
        <v>1823</v>
      </c>
      <c r="C173" s="10" t="s">
        <v>460</v>
      </c>
      <c r="D173" s="10" t="s">
        <v>1808</v>
      </c>
      <c r="E173" s="10" t="s">
        <v>461</v>
      </c>
      <c r="F173" s="47"/>
      <c r="G173" s="14">
        <v>1600000</v>
      </c>
      <c r="H173" s="78">
        <v>1300000</v>
      </c>
      <c r="I173" s="15">
        <f>Table13[[#This Row],[Publish Rate]]-Table13[[#This Row],[Offering Corporate Rate 2026]]</f>
        <v>300000</v>
      </c>
      <c r="J173" s="17" t="str">
        <f>IF(Table13[[#This Row],[Nilai Selisih]]&gt;100000,"Recommend","Revise")</f>
        <v>Recommend</v>
      </c>
      <c r="K173" s="17" t="s">
        <v>3</v>
      </c>
      <c r="L173" s="10" t="s">
        <v>462</v>
      </c>
      <c r="M173" s="18" t="s">
        <v>3</v>
      </c>
    </row>
    <row r="174" spans="1:13" ht="14" customHeight="1" x14ac:dyDescent="0.3">
      <c r="A174" s="9">
        <v>1</v>
      </c>
      <c r="B174" s="9" t="s">
        <v>0</v>
      </c>
      <c r="C174" s="10" t="s">
        <v>463</v>
      </c>
      <c r="D174" s="10" t="s">
        <v>1808</v>
      </c>
      <c r="E174" s="10" t="s">
        <v>464</v>
      </c>
      <c r="F174" s="47" t="s">
        <v>465</v>
      </c>
      <c r="G174" s="49">
        <v>1464100</v>
      </c>
      <c r="H174" s="16">
        <v>1300000</v>
      </c>
      <c r="I174" s="16">
        <f>Table13[[#This Row],[Publish Rate]]-Table13[[#This Row],[Offering Corporate Rate 2026]]</f>
        <v>164100</v>
      </c>
      <c r="J174" s="17" t="str">
        <f>IF(Table13[[#This Row],[Nilai Selisih]]&gt;100000,"Recommend","Revise")</f>
        <v>Recommend</v>
      </c>
      <c r="K174" s="17" t="s">
        <v>3</v>
      </c>
      <c r="L174" s="10" t="s">
        <v>466</v>
      </c>
      <c r="M174" s="18" t="s">
        <v>3</v>
      </c>
    </row>
    <row r="175" spans="1:13" ht="14" customHeight="1" x14ac:dyDescent="0.3">
      <c r="A175" s="9">
        <v>1</v>
      </c>
      <c r="B175" s="9" t="s">
        <v>0</v>
      </c>
      <c r="C175" s="10" t="s">
        <v>463</v>
      </c>
      <c r="D175" s="10" t="s">
        <v>1008</v>
      </c>
      <c r="E175" s="10" t="s">
        <v>467</v>
      </c>
      <c r="F175" s="47" t="s">
        <v>468</v>
      </c>
      <c r="G175" s="80">
        <v>1633500</v>
      </c>
      <c r="H175" s="16">
        <v>1399200</v>
      </c>
      <c r="I175" s="16">
        <f>Table13[[#This Row],[Publish Rate]]-Table13[[#This Row],[Offering Corporate Rate 2026]]</f>
        <v>234300</v>
      </c>
      <c r="J175" s="17" t="str">
        <f>IF(Table13[[#This Row],[Nilai Selisih]]&gt;100000,"Recommend","Revise")</f>
        <v>Recommend</v>
      </c>
      <c r="K175" s="17" t="s">
        <v>3</v>
      </c>
      <c r="L175" s="10" t="s">
        <v>469</v>
      </c>
      <c r="M175" s="18" t="s">
        <v>3</v>
      </c>
    </row>
    <row r="176" spans="1:13" ht="14" customHeight="1" x14ac:dyDescent="0.3">
      <c r="A176" s="9">
        <v>1</v>
      </c>
      <c r="B176" s="9" t="s">
        <v>0</v>
      </c>
      <c r="C176" s="10" t="s">
        <v>463</v>
      </c>
      <c r="D176" s="10" t="s">
        <v>1808</v>
      </c>
      <c r="E176" s="10" t="s">
        <v>470</v>
      </c>
      <c r="F176" s="47" t="s">
        <v>471</v>
      </c>
      <c r="G176" s="49">
        <v>2200990</v>
      </c>
      <c r="H176" s="16">
        <v>1900000</v>
      </c>
      <c r="I176" s="16">
        <f>Table13[[#This Row],[Publish Rate]]-Table13[[#This Row],[Offering Corporate Rate 2026]]</f>
        <v>300990</v>
      </c>
      <c r="J176" s="17" t="str">
        <f>IF(Table13[[#This Row],[Nilai Selisih]]&gt;100000,"Recommend","Revise")</f>
        <v>Recommend</v>
      </c>
      <c r="K176" s="17" t="s">
        <v>3</v>
      </c>
      <c r="L176" s="10" t="s">
        <v>472</v>
      </c>
      <c r="M176" s="18" t="s">
        <v>3</v>
      </c>
    </row>
    <row r="177" spans="1:13" ht="14" customHeight="1" x14ac:dyDescent="0.3">
      <c r="A177" s="9">
        <v>1</v>
      </c>
      <c r="B177" s="9" t="s">
        <v>0</v>
      </c>
      <c r="C177" s="10" t="s">
        <v>6</v>
      </c>
      <c r="D177" s="10" t="s">
        <v>30</v>
      </c>
      <c r="E177" s="44" t="s">
        <v>473</v>
      </c>
      <c r="F177" s="47"/>
      <c r="G177" s="16">
        <v>3714154</v>
      </c>
      <c r="H177" s="81">
        <v>750000</v>
      </c>
      <c r="I177" s="16">
        <f>Table13[[#This Row],[Publish Rate]]-Table13[[#This Row],[Offering Corporate Rate 2026]]</f>
        <v>2964154</v>
      </c>
      <c r="J177" s="17" t="str">
        <f>IF(Table13[[#This Row],[Nilai Selisih]]&gt;100000,"Recommend","Revise")</f>
        <v>Recommend</v>
      </c>
      <c r="K177" s="17" t="s">
        <v>3</v>
      </c>
      <c r="L177" s="44" t="s">
        <v>474</v>
      </c>
      <c r="M177" s="18" t="s">
        <v>3</v>
      </c>
    </row>
    <row r="178" spans="1:13" ht="14" customHeight="1" x14ac:dyDescent="0.3">
      <c r="A178" s="9">
        <v>1</v>
      </c>
      <c r="B178" s="9" t="s">
        <v>0</v>
      </c>
      <c r="C178" s="36" t="s">
        <v>6</v>
      </c>
      <c r="D178" s="36" t="s">
        <v>30</v>
      </c>
      <c r="E178" s="44" t="s">
        <v>475</v>
      </c>
      <c r="F178" s="82"/>
      <c r="G178" s="41">
        <v>2098580</v>
      </c>
      <c r="H178" s="81">
        <v>1700000</v>
      </c>
      <c r="I178" s="16">
        <f>Table13[[#This Row],[Publish Rate]]-Table13[[#This Row],[Offering Corporate Rate 2026]]</f>
        <v>398580</v>
      </c>
      <c r="J178" s="17" t="str">
        <f>IF(Table13[[#This Row],[Nilai Selisih]]&gt;100000,"Recommend","Revise")</f>
        <v>Recommend</v>
      </c>
      <c r="K178" s="17" t="s">
        <v>3</v>
      </c>
      <c r="L178" s="44" t="s">
        <v>476</v>
      </c>
      <c r="M178" s="18" t="s">
        <v>3</v>
      </c>
    </row>
    <row r="179" spans="1:13" ht="14" customHeight="1" x14ac:dyDescent="0.3">
      <c r="A179" s="9">
        <v>1</v>
      </c>
      <c r="B179" s="9" t="s">
        <v>0</v>
      </c>
      <c r="C179" s="36" t="s">
        <v>6</v>
      </c>
      <c r="D179" s="36" t="s">
        <v>30</v>
      </c>
      <c r="E179" s="44" t="s">
        <v>477</v>
      </c>
      <c r="F179" s="47"/>
      <c r="G179" s="16">
        <v>1300000</v>
      </c>
      <c r="H179" s="81">
        <v>1000000</v>
      </c>
      <c r="I179" s="16">
        <f>Table13[[#This Row],[Publish Rate]]-Table13[[#This Row],[Offering Corporate Rate 2026]]</f>
        <v>300000</v>
      </c>
      <c r="J179" s="17" t="str">
        <f>IF(Table13[[#This Row],[Nilai Selisih]]&gt;100000,"Recommend","Revise")</f>
        <v>Recommend</v>
      </c>
      <c r="K179" s="17" t="s">
        <v>3</v>
      </c>
      <c r="L179" s="44" t="s">
        <v>478</v>
      </c>
      <c r="M179" s="18" t="s">
        <v>3</v>
      </c>
    </row>
    <row r="180" spans="1:13" ht="14" customHeight="1" x14ac:dyDescent="0.3">
      <c r="A180" s="9">
        <v>1</v>
      </c>
      <c r="B180" s="9" t="s">
        <v>0</v>
      </c>
      <c r="C180" s="10" t="s">
        <v>6</v>
      </c>
      <c r="D180" s="36" t="s">
        <v>30</v>
      </c>
      <c r="E180" s="44" t="s">
        <v>479</v>
      </c>
      <c r="F180" s="47"/>
      <c r="G180" s="41">
        <v>2231823</v>
      </c>
      <c r="H180" s="81">
        <v>1700000</v>
      </c>
      <c r="I180" s="16">
        <f>Table13[[#This Row],[Publish Rate]]-Table13[[#This Row],[Offering Corporate Rate 2026]]</f>
        <v>531823</v>
      </c>
      <c r="J180" s="17" t="str">
        <f>IF(Table13[[#This Row],[Nilai Selisih]]&gt;100000,"Recommend","Revise")</f>
        <v>Recommend</v>
      </c>
      <c r="K180" s="17" t="s">
        <v>3</v>
      </c>
      <c r="L180" s="44" t="s">
        <v>476</v>
      </c>
      <c r="M180" s="18" t="s">
        <v>3</v>
      </c>
    </row>
    <row r="181" spans="1:13" ht="14" customHeight="1" x14ac:dyDescent="0.3">
      <c r="A181" s="9">
        <v>1</v>
      </c>
      <c r="B181" s="9" t="s">
        <v>0</v>
      </c>
      <c r="C181" s="10" t="s">
        <v>6</v>
      </c>
      <c r="D181" s="36" t="s">
        <v>30</v>
      </c>
      <c r="E181" s="44" t="s">
        <v>480</v>
      </c>
      <c r="F181" s="47"/>
      <c r="G181" s="41">
        <v>4030606</v>
      </c>
      <c r="H181" s="81">
        <v>2900000</v>
      </c>
      <c r="I181" s="16">
        <f>Table13[[#This Row],[Publish Rate]]-Table13[[#This Row],[Offering Corporate Rate 2026]]</f>
        <v>1130606</v>
      </c>
      <c r="J181" s="17" t="str">
        <f>IF(Table13[[#This Row],[Nilai Selisih]]&gt;100000,"Recommend","Revise")</f>
        <v>Recommend</v>
      </c>
      <c r="K181" s="17" t="s">
        <v>3</v>
      </c>
      <c r="L181" s="44" t="s">
        <v>481</v>
      </c>
      <c r="M181" s="18" t="s">
        <v>3</v>
      </c>
    </row>
    <row r="182" spans="1:13" ht="14" customHeight="1" x14ac:dyDescent="0.3">
      <c r="A182" s="9">
        <v>1</v>
      </c>
      <c r="B182" s="9" t="s">
        <v>0</v>
      </c>
      <c r="C182" s="10" t="s">
        <v>6</v>
      </c>
      <c r="D182" s="36" t="s">
        <v>30</v>
      </c>
      <c r="E182" s="44" t="s">
        <v>482</v>
      </c>
      <c r="F182" s="47"/>
      <c r="G182" s="83">
        <v>3714154</v>
      </c>
      <c r="H182" s="16">
        <v>3135000</v>
      </c>
      <c r="I182" s="16">
        <f>Table13[[#This Row],[Publish Rate]]-Table13[[#This Row],[Offering Corporate Rate 2026]]</f>
        <v>579154</v>
      </c>
      <c r="J182" s="17" t="str">
        <f>IF(Table13[[#This Row],[Nilai Selisih]]&gt;100000,"Recommend","Revise")</f>
        <v>Recommend</v>
      </c>
      <c r="K182" s="17" t="s">
        <v>3</v>
      </c>
      <c r="L182" s="44" t="s">
        <v>483</v>
      </c>
      <c r="M182" s="18" t="s">
        <v>3</v>
      </c>
    </row>
    <row r="183" spans="1:13" ht="14" customHeight="1" x14ac:dyDescent="0.3">
      <c r="A183" s="9">
        <v>1</v>
      </c>
      <c r="B183" s="9" t="s">
        <v>0</v>
      </c>
      <c r="C183" s="10" t="s">
        <v>6</v>
      </c>
      <c r="D183" s="36" t="s">
        <v>30</v>
      </c>
      <c r="E183" s="44" t="s">
        <v>484</v>
      </c>
      <c r="F183" s="47"/>
      <c r="G183" s="16">
        <v>11891955</v>
      </c>
      <c r="H183" s="16">
        <v>8044060</v>
      </c>
      <c r="I183" s="16">
        <f>Table13[[#This Row],[Publish Rate]]-Table13[[#This Row],[Offering Corporate Rate 2026]]</f>
        <v>3847895</v>
      </c>
      <c r="J183" s="17" t="str">
        <f>IF(Table13[[#This Row],[Nilai Selisih]]&gt;100000,"Recommend","Revise")</f>
        <v>Recommend</v>
      </c>
      <c r="K183" s="17" t="s">
        <v>3</v>
      </c>
      <c r="L183" s="44" t="s">
        <v>485</v>
      </c>
      <c r="M183" s="18" t="s">
        <v>3</v>
      </c>
    </row>
    <row r="184" spans="1:13" ht="14" customHeight="1" x14ac:dyDescent="0.3">
      <c r="A184" s="9">
        <v>1</v>
      </c>
      <c r="B184" s="9" t="s">
        <v>0</v>
      </c>
      <c r="C184" s="66" t="s">
        <v>6</v>
      </c>
      <c r="D184" s="36" t="s">
        <v>30</v>
      </c>
      <c r="E184" s="44" t="s">
        <v>486</v>
      </c>
      <c r="F184" s="47"/>
      <c r="G184" s="16">
        <v>2098580</v>
      </c>
      <c r="H184" s="81">
        <v>1700000</v>
      </c>
      <c r="I184" s="16">
        <f>Table13[[#This Row],[Publish Rate]]-Table13[[#This Row],[Offering Corporate Rate 2026]]</f>
        <v>398580</v>
      </c>
      <c r="J184" s="17" t="str">
        <f>IF(Table13[[#This Row],[Nilai Selisih]]&gt;100000,"Recommend","Revise")</f>
        <v>Recommend</v>
      </c>
      <c r="K184" s="17" t="s">
        <v>3</v>
      </c>
      <c r="L184" s="44" t="s">
        <v>36</v>
      </c>
      <c r="M184" s="18" t="s">
        <v>3</v>
      </c>
    </row>
    <row r="185" spans="1:13" ht="14" customHeight="1" x14ac:dyDescent="0.3">
      <c r="A185" s="9">
        <v>1</v>
      </c>
      <c r="B185" s="9" t="s">
        <v>0</v>
      </c>
      <c r="C185" s="66" t="s">
        <v>6</v>
      </c>
      <c r="D185" s="10" t="s">
        <v>30</v>
      </c>
      <c r="E185" s="44" t="s">
        <v>487</v>
      </c>
      <c r="F185" s="47"/>
      <c r="G185" s="16">
        <v>1632229</v>
      </c>
      <c r="H185" s="16">
        <v>1400000</v>
      </c>
      <c r="I185" s="16">
        <f>Table13[[#This Row],[Publish Rate]]-Table13[[#This Row],[Offering Corporate Rate 2026]]</f>
        <v>232229</v>
      </c>
      <c r="J185" s="17" t="str">
        <f>IF(Table13[[#This Row],[Nilai Selisih]]&gt;100000,"Recommend","Revise")</f>
        <v>Recommend</v>
      </c>
      <c r="K185" s="17" t="s">
        <v>3</v>
      </c>
      <c r="L185" s="44" t="s">
        <v>488</v>
      </c>
      <c r="M185" s="18" t="s">
        <v>3</v>
      </c>
    </row>
    <row r="186" spans="1:13" ht="14" customHeight="1" x14ac:dyDescent="0.3">
      <c r="A186" s="9">
        <v>1</v>
      </c>
      <c r="B186" s="9" t="s">
        <v>0</v>
      </c>
      <c r="C186" s="66" t="s">
        <v>6</v>
      </c>
      <c r="D186" s="10" t="s">
        <v>724</v>
      </c>
      <c r="E186" s="44" t="s">
        <v>489</v>
      </c>
      <c r="F186" s="47"/>
      <c r="G186" s="16">
        <v>4696822</v>
      </c>
      <c r="H186" s="16">
        <v>1250000</v>
      </c>
      <c r="I186" s="16">
        <f>Table13[[#This Row],[Publish Rate]]-Table13[[#This Row],[Offering Corporate Rate 2026]]</f>
        <v>3446822</v>
      </c>
      <c r="J186" s="17" t="str">
        <f>IF(Table13[[#This Row],[Nilai Selisih]]&gt;100000,"Recommend","Revise")</f>
        <v>Recommend</v>
      </c>
      <c r="K186" s="17" t="s">
        <v>3</v>
      </c>
      <c r="L186" s="44" t="s">
        <v>117</v>
      </c>
      <c r="M186" s="18" t="s">
        <v>3</v>
      </c>
    </row>
    <row r="187" spans="1:13" ht="14" customHeight="1" x14ac:dyDescent="0.3">
      <c r="A187" s="9">
        <v>1</v>
      </c>
      <c r="B187" s="9" t="s">
        <v>0</v>
      </c>
      <c r="C187" s="66" t="s">
        <v>6</v>
      </c>
      <c r="D187" s="10" t="s">
        <v>724</v>
      </c>
      <c r="E187" s="44" t="s">
        <v>490</v>
      </c>
      <c r="F187" s="47"/>
      <c r="G187" s="16">
        <v>1200000</v>
      </c>
      <c r="H187" s="16">
        <v>700000</v>
      </c>
      <c r="I187" s="16">
        <f>Table13[[#This Row],[Publish Rate]]-Table13[[#This Row],[Offering Corporate Rate 2026]]</f>
        <v>500000</v>
      </c>
      <c r="J187" s="17" t="str">
        <f>IF(Table13[[#This Row],[Nilai Selisih]]&gt;100000,"Recommend","Revise")</f>
        <v>Recommend</v>
      </c>
      <c r="K187" s="17" t="s">
        <v>3</v>
      </c>
      <c r="L187" s="44" t="s">
        <v>491</v>
      </c>
      <c r="M187" s="18" t="s">
        <v>3</v>
      </c>
    </row>
    <row r="188" spans="1:13" ht="14" customHeight="1" x14ac:dyDescent="0.3">
      <c r="A188" s="9">
        <v>1</v>
      </c>
      <c r="B188" s="9" t="s">
        <v>0</v>
      </c>
      <c r="C188" s="10" t="s">
        <v>6</v>
      </c>
      <c r="D188" s="10" t="s">
        <v>724</v>
      </c>
      <c r="E188" s="44" t="s">
        <v>492</v>
      </c>
      <c r="F188" s="47"/>
      <c r="G188" s="49">
        <v>1500300</v>
      </c>
      <c r="H188" s="16">
        <v>958000</v>
      </c>
      <c r="I188" s="16">
        <f>Table13[[#This Row],[Publish Rate]]-Table13[[#This Row],[Offering Corporate Rate 2026]]</f>
        <v>542300</v>
      </c>
      <c r="J188" s="17" t="str">
        <f>IF(Table13[[#This Row],[Nilai Selisih]]&gt;100000,"Recommend","Revise")</f>
        <v>Recommend</v>
      </c>
      <c r="K188" s="17" t="s">
        <v>3</v>
      </c>
      <c r="L188" s="44" t="s">
        <v>36</v>
      </c>
      <c r="M188" s="18" t="s">
        <v>3</v>
      </c>
    </row>
    <row r="189" spans="1:13" ht="14" customHeight="1" x14ac:dyDescent="0.3">
      <c r="A189" s="9">
        <v>1</v>
      </c>
      <c r="B189" s="9" t="s">
        <v>0</v>
      </c>
      <c r="C189" s="10" t="s">
        <v>6</v>
      </c>
      <c r="D189" s="10" t="s">
        <v>724</v>
      </c>
      <c r="E189" s="44" t="s">
        <v>493</v>
      </c>
      <c r="G189" s="49">
        <v>4513965</v>
      </c>
      <c r="H189" s="16">
        <v>2150000</v>
      </c>
      <c r="I189" s="16">
        <f>Table13[[#This Row],[Publish Rate]]-Table13[[#This Row],[Offering Corporate Rate 2026]]</f>
        <v>2363965</v>
      </c>
      <c r="J189" s="17" t="str">
        <f>IF(Table13[[#This Row],[Nilai Selisih]]&gt;100000,"Recommend","Revise")</f>
        <v>Recommend</v>
      </c>
      <c r="K189" s="17" t="s">
        <v>3</v>
      </c>
      <c r="L189" s="44" t="s">
        <v>117</v>
      </c>
      <c r="M189" s="18" t="s">
        <v>3</v>
      </c>
    </row>
    <row r="190" spans="1:13" ht="14" customHeight="1" x14ac:dyDescent="0.3">
      <c r="A190" s="9">
        <v>1</v>
      </c>
      <c r="B190" s="9" t="s">
        <v>0</v>
      </c>
      <c r="C190" s="10" t="s">
        <v>6</v>
      </c>
      <c r="D190" s="10" t="s">
        <v>724</v>
      </c>
      <c r="E190" s="44" t="s">
        <v>494</v>
      </c>
      <c r="G190" s="49">
        <v>4513965</v>
      </c>
      <c r="H190" s="16">
        <v>3100000</v>
      </c>
      <c r="I190" s="16">
        <f>Table13[[#This Row],[Publish Rate]]-Table13[[#This Row],[Offering Corporate Rate 2026]]</f>
        <v>1413965</v>
      </c>
      <c r="J190" s="17" t="str">
        <f>IF(Table13[[#This Row],[Nilai Selisih]]&gt;100000,"Recommend","Revise")</f>
        <v>Recommend</v>
      </c>
      <c r="K190" s="17" t="s">
        <v>3</v>
      </c>
      <c r="L190" s="44" t="s">
        <v>117</v>
      </c>
      <c r="M190" s="18" t="s">
        <v>3</v>
      </c>
    </row>
    <row r="191" spans="1:13" ht="14" customHeight="1" x14ac:dyDescent="0.3">
      <c r="A191" s="9">
        <v>1</v>
      </c>
      <c r="B191" s="9" t="s">
        <v>0</v>
      </c>
      <c r="C191" s="10" t="s">
        <v>6</v>
      </c>
      <c r="D191" s="10" t="s">
        <v>724</v>
      </c>
      <c r="E191" s="44" t="s">
        <v>495</v>
      </c>
      <c r="G191" s="49">
        <v>2300000</v>
      </c>
      <c r="H191" s="16">
        <v>1900000</v>
      </c>
      <c r="I191" s="16">
        <f>Table13[[#This Row],[Publish Rate]]-Table13[[#This Row],[Offering Corporate Rate 2026]]</f>
        <v>400000</v>
      </c>
      <c r="J191" s="17" t="str">
        <f>IF(Table13[[#This Row],[Nilai Selisih]]&gt;100000,"Recommend","Revise")</f>
        <v>Recommend</v>
      </c>
      <c r="K191" s="17" t="s">
        <v>3</v>
      </c>
      <c r="L191" s="44" t="s">
        <v>142</v>
      </c>
      <c r="M191" s="18" t="s">
        <v>3</v>
      </c>
    </row>
    <row r="192" spans="1:13" ht="14" customHeight="1" x14ac:dyDescent="0.3">
      <c r="A192" s="9">
        <v>1</v>
      </c>
      <c r="B192" s="9" t="s">
        <v>0</v>
      </c>
      <c r="C192" s="10" t="s">
        <v>6</v>
      </c>
      <c r="D192" s="10" t="s">
        <v>724</v>
      </c>
      <c r="E192" s="44" t="s">
        <v>496</v>
      </c>
      <c r="G192" s="49">
        <v>3300000</v>
      </c>
      <c r="H192" s="16">
        <v>2900000</v>
      </c>
      <c r="I192" s="16">
        <f>Table13[[#This Row],[Publish Rate]]-Table13[[#This Row],[Offering Corporate Rate 2026]]</f>
        <v>400000</v>
      </c>
      <c r="J192" s="17" t="str">
        <f>IF(Table13[[#This Row],[Nilai Selisih]]&gt;100000,"Recommend","Revise")</f>
        <v>Recommend</v>
      </c>
      <c r="K192" s="17" t="s">
        <v>3</v>
      </c>
      <c r="L192" s="44" t="s">
        <v>142</v>
      </c>
      <c r="M192" s="18" t="s">
        <v>3</v>
      </c>
    </row>
    <row r="193" spans="1:13" ht="14" customHeight="1" x14ac:dyDescent="0.3">
      <c r="A193" s="9">
        <v>1</v>
      </c>
      <c r="B193" s="9" t="s">
        <v>0</v>
      </c>
      <c r="C193" s="10" t="s">
        <v>6</v>
      </c>
      <c r="D193" s="10" t="s">
        <v>724</v>
      </c>
      <c r="E193" s="44" t="s">
        <v>497</v>
      </c>
      <c r="G193" s="49">
        <v>1718200</v>
      </c>
      <c r="H193" s="16">
        <v>1200000</v>
      </c>
      <c r="I193" s="16">
        <f>Table13[[#This Row],[Publish Rate]]-Table13[[#This Row],[Offering Corporate Rate 2026]]</f>
        <v>518200</v>
      </c>
      <c r="J193" s="17" t="str">
        <f>IF(Table13[[#This Row],[Nilai Selisih]]&gt;100000,"Recommend","Revise")</f>
        <v>Recommend</v>
      </c>
      <c r="K193" s="17" t="s">
        <v>3</v>
      </c>
      <c r="L193" s="44" t="s">
        <v>498</v>
      </c>
      <c r="M193" s="18" t="s">
        <v>3</v>
      </c>
    </row>
    <row r="194" spans="1:13" ht="14" customHeight="1" x14ac:dyDescent="0.3">
      <c r="A194" s="9">
        <v>1</v>
      </c>
      <c r="B194" s="9" t="s">
        <v>0</v>
      </c>
      <c r="C194" s="10" t="s">
        <v>6</v>
      </c>
      <c r="D194" s="10" t="s">
        <v>743</v>
      </c>
      <c r="E194" s="44" t="s">
        <v>499</v>
      </c>
      <c r="G194" s="49">
        <v>620001</v>
      </c>
      <c r="H194" s="16">
        <v>550000</v>
      </c>
      <c r="I194" s="16">
        <f>Table13[[#This Row],[Publish Rate]]-Table13[[#This Row],[Offering Corporate Rate 2026]]</f>
        <v>70001</v>
      </c>
      <c r="J194" s="17" t="str">
        <f>IF(Table13[[#This Row],[Nilai Selisih]]&gt;100000,"Recommend","Revise")</f>
        <v>Revise</v>
      </c>
      <c r="K194" s="17" t="s">
        <v>3</v>
      </c>
      <c r="L194" s="44" t="s">
        <v>117</v>
      </c>
      <c r="M194" s="18" t="s">
        <v>3</v>
      </c>
    </row>
    <row r="195" spans="1:13" ht="14" customHeight="1" x14ac:dyDescent="0.3">
      <c r="A195" s="9">
        <v>1</v>
      </c>
      <c r="B195" s="9" t="s">
        <v>0</v>
      </c>
      <c r="C195" s="30" t="s">
        <v>6</v>
      </c>
      <c r="D195" s="30" t="s">
        <v>1806</v>
      </c>
      <c r="E195" s="68" t="s">
        <v>500</v>
      </c>
      <c r="F195" s="84"/>
      <c r="G195" s="61">
        <v>1778682</v>
      </c>
      <c r="H195" s="52">
        <v>1150000</v>
      </c>
      <c r="I195" s="52">
        <f>Table13[[#This Row],[Publish Rate]]-Table13[[#This Row],[Offering Corporate Rate 2026]]</f>
        <v>628682</v>
      </c>
      <c r="J195" s="85" t="str">
        <f>IF(Table13[[#This Row],[Nilai Selisih]]&gt;100000,"Recommend","Revise")</f>
        <v>Recommend</v>
      </c>
      <c r="K195" s="17" t="s">
        <v>3</v>
      </c>
      <c r="L195" s="68" t="s">
        <v>501</v>
      </c>
      <c r="M195" s="18" t="s">
        <v>3</v>
      </c>
    </row>
    <row r="196" spans="1:13" ht="14" customHeight="1" x14ac:dyDescent="0.3">
      <c r="A196" s="9">
        <v>1</v>
      </c>
      <c r="B196" s="9" t="s">
        <v>0</v>
      </c>
      <c r="C196" s="30" t="s">
        <v>6</v>
      </c>
      <c r="D196" s="30" t="s">
        <v>1806</v>
      </c>
      <c r="E196" s="68" t="s">
        <v>502</v>
      </c>
      <c r="F196" s="84"/>
      <c r="G196" s="61">
        <v>5888064</v>
      </c>
      <c r="H196" s="52">
        <v>3000000</v>
      </c>
      <c r="I196" s="52">
        <f>Table13[[#This Row],[Publish Rate]]-Table13[[#This Row],[Offering Corporate Rate 2026]]</f>
        <v>2888064</v>
      </c>
      <c r="J196" s="86" t="str">
        <f>IF(Table13[[#This Row],[Nilai Selisih]]&gt;100000,"Recommend","Revise")</f>
        <v>Recommend</v>
      </c>
      <c r="K196" s="17" t="s">
        <v>3</v>
      </c>
      <c r="L196" s="87" t="s">
        <v>503</v>
      </c>
      <c r="M196" s="18" t="s">
        <v>3</v>
      </c>
    </row>
    <row r="197" spans="1:13" ht="14" customHeight="1" x14ac:dyDescent="0.3">
      <c r="A197" s="9">
        <v>1</v>
      </c>
      <c r="B197" s="9" t="s">
        <v>0</v>
      </c>
      <c r="C197" s="30" t="s">
        <v>6</v>
      </c>
      <c r="D197" s="30" t="s">
        <v>1806</v>
      </c>
      <c r="E197" s="68" t="s">
        <v>504</v>
      </c>
      <c r="F197" s="84"/>
      <c r="G197" s="61">
        <v>3027803</v>
      </c>
      <c r="H197" s="52">
        <v>1800000</v>
      </c>
      <c r="I197" s="52">
        <f>Table13[[#This Row],[Publish Rate]]-Table13[[#This Row],[Offering Corporate Rate 2026]]</f>
        <v>1227803</v>
      </c>
      <c r="J197" s="85" t="str">
        <f>IF(Table13[[#This Row],[Nilai Selisih]]&gt;100000,"Recommend","Revise")</f>
        <v>Recommend</v>
      </c>
      <c r="K197" s="17" t="s">
        <v>3</v>
      </c>
      <c r="L197" s="68" t="s">
        <v>505</v>
      </c>
      <c r="M197" s="18" t="s">
        <v>3</v>
      </c>
    </row>
    <row r="198" spans="1:13" ht="14" customHeight="1" x14ac:dyDescent="0.3">
      <c r="A198" s="9">
        <v>1</v>
      </c>
      <c r="B198" s="9" t="s">
        <v>0</v>
      </c>
      <c r="C198" s="30" t="s">
        <v>6</v>
      </c>
      <c r="D198" s="30" t="s">
        <v>724</v>
      </c>
      <c r="E198" s="68" t="s">
        <v>506</v>
      </c>
      <c r="F198" s="84"/>
      <c r="G198" s="61">
        <v>1710000</v>
      </c>
      <c r="H198" s="52">
        <v>1200000</v>
      </c>
      <c r="I198" s="52">
        <f>Table13[[#This Row],[Publish Rate]]-Table13[[#This Row],[Offering Corporate Rate 2026]]</f>
        <v>510000</v>
      </c>
      <c r="J198" s="85" t="str">
        <f>IF(Table13[[#This Row],[Nilai Selisih]]&gt;100000,"Recommend","Revise")</f>
        <v>Recommend</v>
      </c>
      <c r="K198" s="17" t="s">
        <v>3</v>
      </c>
      <c r="L198" s="68" t="s">
        <v>36</v>
      </c>
      <c r="M198" s="18" t="s">
        <v>3</v>
      </c>
    </row>
    <row r="199" spans="1:13" ht="14" customHeight="1" x14ac:dyDescent="0.3">
      <c r="A199" s="9">
        <v>1</v>
      </c>
      <c r="B199" s="9" t="s">
        <v>0</v>
      </c>
      <c r="C199" s="30" t="s">
        <v>6</v>
      </c>
      <c r="D199" s="30" t="s">
        <v>1808</v>
      </c>
      <c r="E199" s="68" t="s">
        <v>507</v>
      </c>
      <c r="F199" s="84"/>
      <c r="G199" s="61">
        <v>665800</v>
      </c>
      <c r="H199" s="52">
        <v>750000</v>
      </c>
      <c r="I199" s="52">
        <f>Table13[[#This Row],[Publish Rate]]-Table13[[#This Row],[Offering Corporate Rate 2026]]</f>
        <v>-84200</v>
      </c>
      <c r="J199" s="85" t="str">
        <f>IF(Table13[[#This Row],[Nilai Selisih]]&gt;100000,"Recommend","Revise")</f>
        <v>Revise</v>
      </c>
      <c r="K199" s="17" t="s">
        <v>3</v>
      </c>
      <c r="L199" s="68" t="s">
        <v>117</v>
      </c>
      <c r="M199" s="18" t="s">
        <v>3</v>
      </c>
    </row>
    <row r="200" spans="1:13" ht="14" customHeight="1" x14ac:dyDescent="0.3">
      <c r="A200" s="9">
        <v>1</v>
      </c>
      <c r="B200" s="9" t="s">
        <v>0</v>
      </c>
      <c r="C200" s="30" t="s">
        <v>6</v>
      </c>
      <c r="D200" s="30" t="s">
        <v>1808</v>
      </c>
      <c r="E200" s="68" t="s">
        <v>508</v>
      </c>
      <c r="F200" s="84"/>
      <c r="G200" s="61">
        <v>598932</v>
      </c>
      <c r="H200" s="52">
        <v>550000</v>
      </c>
      <c r="I200" s="52">
        <f>Table13[[#This Row],[Publish Rate]]-Table13[[#This Row],[Offering Corporate Rate 2026]]</f>
        <v>48932</v>
      </c>
      <c r="J200" s="85" t="str">
        <f>IF(Table13[[#This Row],[Nilai Selisih]]&gt;100000,"Recommend","Revise")</f>
        <v>Revise</v>
      </c>
      <c r="K200" s="17" t="s">
        <v>3</v>
      </c>
      <c r="L200" s="68" t="s">
        <v>117</v>
      </c>
      <c r="M200" s="18" t="s">
        <v>3</v>
      </c>
    </row>
    <row r="201" spans="1:13" ht="14" customHeight="1" x14ac:dyDescent="0.3">
      <c r="A201" s="9">
        <v>1</v>
      </c>
      <c r="B201" s="9" t="s">
        <v>0</v>
      </c>
      <c r="C201" s="30" t="s">
        <v>6</v>
      </c>
      <c r="D201" s="30" t="s">
        <v>1808</v>
      </c>
      <c r="E201" s="88" t="s">
        <v>509</v>
      </c>
      <c r="F201" s="84"/>
      <c r="G201" s="61">
        <v>748719</v>
      </c>
      <c r="H201" s="52">
        <v>950000</v>
      </c>
      <c r="I201" s="52">
        <f>Table13[[#This Row],[Publish Rate]]-Table13[[#This Row],[Offering Corporate Rate 2026]]</f>
        <v>-201281</v>
      </c>
      <c r="J201" s="85" t="str">
        <f>IF(Table13[[#This Row],[Nilai Selisih]]&gt;100000,"Recommend","Revise")</f>
        <v>Revise</v>
      </c>
      <c r="K201" s="17" t="s">
        <v>3</v>
      </c>
      <c r="L201" s="68" t="s">
        <v>117</v>
      </c>
      <c r="M201" s="18" t="s">
        <v>3</v>
      </c>
    </row>
    <row r="202" spans="1:13" ht="14" customHeight="1" x14ac:dyDescent="0.3">
      <c r="A202" s="9">
        <v>1</v>
      </c>
      <c r="B202" s="9" t="s">
        <v>0</v>
      </c>
      <c r="C202" s="30" t="s">
        <v>6</v>
      </c>
      <c r="D202" s="30" t="s">
        <v>1808</v>
      </c>
      <c r="E202" s="68" t="s">
        <v>510</v>
      </c>
      <c r="F202" s="84"/>
      <c r="G202" s="61">
        <v>1430705</v>
      </c>
      <c r="H202" s="52">
        <v>1200000</v>
      </c>
      <c r="I202" s="52">
        <f>Table13[[#This Row],[Publish Rate]]-Table13[[#This Row],[Offering Corporate Rate 2026]]</f>
        <v>230705</v>
      </c>
      <c r="J202" s="85" t="str">
        <f>IF(Table13[[#This Row],[Nilai Selisih]]&gt;100000,"Recommend","Revise")</f>
        <v>Recommend</v>
      </c>
      <c r="K202" s="17" t="s">
        <v>3</v>
      </c>
      <c r="L202" s="68" t="s">
        <v>511</v>
      </c>
      <c r="M202" s="18" t="s">
        <v>3</v>
      </c>
    </row>
    <row r="203" spans="1:13" ht="14" customHeight="1" x14ac:dyDescent="0.3">
      <c r="A203" s="9">
        <v>1</v>
      </c>
      <c r="B203" s="9" t="s">
        <v>0</v>
      </c>
      <c r="C203" s="30" t="s">
        <v>6</v>
      </c>
      <c r="D203" s="30" t="s">
        <v>1752</v>
      </c>
      <c r="E203" s="68" t="s">
        <v>512</v>
      </c>
      <c r="F203" s="84"/>
      <c r="G203" s="61">
        <v>2544948</v>
      </c>
      <c r="H203" s="52">
        <v>1700000</v>
      </c>
      <c r="I203" s="52">
        <f>Table13[[#This Row],[Publish Rate]]-Table13[[#This Row],[Offering Corporate Rate 2026]]</f>
        <v>844948</v>
      </c>
      <c r="J203" s="85" t="str">
        <f>IF(Table13[[#This Row],[Nilai Selisih]]&gt;100000,"Recommend","Revise")</f>
        <v>Recommend</v>
      </c>
      <c r="K203" s="17" t="s">
        <v>3</v>
      </c>
      <c r="L203" s="68" t="s">
        <v>117</v>
      </c>
      <c r="M203" s="18" t="s">
        <v>3</v>
      </c>
    </row>
    <row r="204" spans="1:13" ht="14" customHeight="1" x14ac:dyDescent="0.3">
      <c r="A204" s="9">
        <v>1</v>
      </c>
      <c r="B204" s="9" t="s">
        <v>0</v>
      </c>
      <c r="C204" s="30" t="s">
        <v>6</v>
      </c>
      <c r="D204" s="30" t="s">
        <v>513</v>
      </c>
      <c r="E204" s="68" t="s">
        <v>514</v>
      </c>
      <c r="F204" s="84"/>
      <c r="G204" s="61">
        <v>1047923</v>
      </c>
      <c r="H204" s="52">
        <v>750000</v>
      </c>
      <c r="I204" s="52">
        <f>Table13[[#This Row],[Publish Rate]]-Table13[[#This Row],[Offering Corporate Rate 2026]]</f>
        <v>297923</v>
      </c>
      <c r="J204" s="85" t="str">
        <f>IF(Table13[[#This Row],[Nilai Selisih]]&gt;100000,"Recommend","Revise")</f>
        <v>Recommend</v>
      </c>
      <c r="K204" s="17" t="s">
        <v>3</v>
      </c>
      <c r="L204" s="68" t="s">
        <v>117</v>
      </c>
      <c r="M204" s="18" t="s">
        <v>3</v>
      </c>
    </row>
    <row r="205" spans="1:13" ht="14" customHeight="1" x14ac:dyDescent="0.3">
      <c r="A205" s="9">
        <v>1</v>
      </c>
      <c r="B205" s="9" t="s">
        <v>0</v>
      </c>
      <c r="C205" s="30" t="s">
        <v>6</v>
      </c>
      <c r="D205" s="30" t="s">
        <v>1269</v>
      </c>
      <c r="E205" s="68" t="s">
        <v>515</v>
      </c>
      <c r="F205" s="84"/>
      <c r="G205" s="61">
        <v>1031242</v>
      </c>
      <c r="H205" s="52">
        <v>625000</v>
      </c>
      <c r="I205" s="52">
        <f>Table13[[#This Row],[Publish Rate]]-Table13[[#This Row],[Offering Corporate Rate 2026]]</f>
        <v>406242</v>
      </c>
      <c r="J205" s="85" t="str">
        <f>IF(Table13[[#This Row],[Nilai Selisih]]&gt;100000,"Recommend","Revise")</f>
        <v>Recommend</v>
      </c>
      <c r="K205" s="17" t="s">
        <v>3</v>
      </c>
      <c r="L205" s="68" t="s">
        <v>117</v>
      </c>
      <c r="M205" s="18" t="s">
        <v>3</v>
      </c>
    </row>
    <row r="206" spans="1:13" ht="14" customHeight="1" x14ac:dyDescent="0.3">
      <c r="A206" s="9">
        <v>1</v>
      </c>
      <c r="B206" s="9" t="s">
        <v>0</v>
      </c>
      <c r="C206" s="30" t="s">
        <v>6</v>
      </c>
      <c r="D206" s="30" t="s">
        <v>1268</v>
      </c>
      <c r="E206" s="88" t="s">
        <v>516</v>
      </c>
      <c r="F206" s="84"/>
      <c r="G206" s="61">
        <v>881880</v>
      </c>
      <c r="H206" s="52">
        <v>750000</v>
      </c>
      <c r="I206" s="52">
        <f>Table13[[#This Row],[Publish Rate]]-Table13[[#This Row],[Offering Corporate Rate 2026]]</f>
        <v>131880</v>
      </c>
      <c r="J206" s="85" t="str">
        <f>IF(Table13[[#This Row],[Nilai Selisih]]&gt;100000,"Recommend","Revise")</f>
        <v>Recommend</v>
      </c>
      <c r="K206" s="17" t="s">
        <v>3</v>
      </c>
      <c r="L206" s="68" t="s">
        <v>81</v>
      </c>
      <c r="M206" s="18" t="s">
        <v>3</v>
      </c>
    </row>
    <row r="207" spans="1:13" ht="14" customHeight="1" x14ac:dyDescent="0.3">
      <c r="A207" s="9">
        <v>1</v>
      </c>
      <c r="B207" s="9" t="s">
        <v>0</v>
      </c>
      <c r="C207" s="30" t="s">
        <v>6</v>
      </c>
      <c r="D207" s="30" t="s">
        <v>1808</v>
      </c>
      <c r="E207" s="30" t="s">
        <v>517</v>
      </c>
      <c r="F207" s="60" t="s">
        <v>518</v>
      </c>
      <c r="G207" s="61">
        <v>2658683</v>
      </c>
      <c r="H207" s="52">
        <v>2250000</v>
      </c>
      <c r="I207" s="52">
        <f>Table13[[#This Row],[Publish Rate]]-Table13[[#This Row],[Offering Corporate Rate 2026]]</f>
        <v>408683</v>
      </c>
      <c r="J207" s="85" t="str">
        <f>IF(Table13[[#This Row],[Nilai Selisih]]&gt;100000,"Recommend","Revise")</f>
        <v>Recommend</v>
      </c>
      <c r="K207" s="17" t="s">
        <v>3</v>
      </c>
      <c r="L207" s="30" t="s">
        <v>519</v>
      </c>
      <c r="M207" s="18" t="s">
        <v>3</v>
      </c>
    </row>
    <row r="208" spans="1:13" ht="14" customHeight="1" x14ac:dyDescent="0.3">
      <c r="A208" s="9">
        <v>1</v>
      </c>
      <c r="B208" s="9" t="s">
        <v>0</v>
      </c>
      <c r="C208" s="89" t="s">
        <v>520</v>
      </c>
      <c r="D208" s="30" t="s">
        <v>1804</v>
      </c>
      <c r="E208" s="30" t="s">
        <v>521</v>
      </c>
      <c r="F208" s="60" t="s">
        <v>522</v>
      </c>
      <c r="G208" s="52">
        <v>2500000</v>
      </c>
      <c r="H208" s="52">
        <v>1250000</v>
      </c>
      <c r="I208" s="52">
        <f>Table13[[#This Row],[Publish Rate]]-Table13[[#This Row],[Offering Corporate Rate 2026]]</f>
        <v>1250000</v>
      </c>
      <c r="J208" s="85" t="str">
        <f>IF(Table13[[#This Row],[Nilai Selisih]]&gt;100000,"Recommend","Revise")</f>
        <v>Recommend</v>
      </c>
      <c r="K208" s="17" t="s">
        <v>3</v>
      </c>
      <c r="L208" s="30" t="s">
        <v>523</v>
      </c>
      <c r="M208" s="18" t="s">
        <v>3</v>
      </c>
    </row>
    <row r="209" spans="1:13" ht="14" customHeight="1" x14ac:dyDescent="0.3">
      <c r="A209" s="9">
        <v>1</v>
      </c>
      <c r="B209" s="9" t="s">
        <v>0</v>
      </c>
      <c r="C209" s="89" t="s">
        <v>520</v>
      </c>
      <c r="D209" s="30" t="s">
        <v>1804</v>
      </c>
      <c r="E209" s="30" t="s">
        <v>524</v>
      </c>
      <c r="F209" s="60" t="s">
        <v>522</v>
      </c>
      <c r="G209" s="52">
        <v>2300000</v>
      </c>
      <c r="H209" s="52">
        <v>1098000</v>
      </c>
      <c r="I209" s="52">
        <f>Table13[[#This Row],[Publish Rate]]-Table13[[#This Row],[Offering Corporate Rate 2026]]</f>
        <v>1202000</v>
      </c>
      <c r="J209" s="85" t="str">
        <f>IF(Table13[[#This Row],[Nilai Selisih]]&gt;100000,"Recommend","Revise")</f>
        <v>Recommend</v>
      </c>
      <c r="K209" s="17" t="s">
        <v>3</v>
      </c>
      <c r="L209" s="30" t="s">
        <v>525</v>
      </c>
      <c r="M209" s="18" t="s">
        <v>3</v>
      </c>
    </row>
    <row r="210" spans="1:13" ht="14" customHeight="1" x14ac:dyDescent="0.3">
      <c r="A210" s="9">
        <v>1</v>
      </c>
      <c r="B210" s="9" t="s">
        <v>0</v>
      </c>
      <c r="C210" s="89" t="s">
        <v>520</v>
      </c>
      <c r="D210" s="30" t="s">
        <v>1804</v>
      </c>
      <c r="E210" s="30" t="s">
        <v>526</v>
      </c>
      <c r="F210" s="60" t="s">
        <v>522</v>
      </c>
      <c r="G210" s="52">
        <v>2200000</v>
      </c>
      <c r="H210" s="52">
        <v>1038000</v>
      </c>
      <c r="I210" s="52">
        <f>Table13[[#This Row],[Publish Rate]]-Table13[[#This Row],[Offering Corporate Rate 2026]]</f>
        <v>1162000</v>
      </c>
      <c r="J210" s="85" t="str">
        <f>IF(Table13[[#This Row],[Nilai Selisih]]&gt;100000,"Recommend","Revise")</f>
        <v>Recommend</v>
      </c>
      <c r="K210" s="17" t="s">
        <v>3</v>
      </c>
      <c r="L210" s="30" t="s">
        <v>525</v>
      </c>
      <c r="M210" s="18" t="s">
        <v>3</v>
      </c>
    </row>
    <row r="211" spans="1:13" ht="14" customHeight="1" x14ac:dyDescent="0.3">
      <c r="A211" s="9">
        <v>1</v>
      </c>
      <c r="B211" s="9" t="s">
        <v>0</v>
      </c>
      <c r="C211" s="89" t="s">
        <v>520</v>
      </c>
      <c r="D211" s="30" t="s">
        <v>1804</v>
      </c>
      <c r="E211" s="30" t="s">
        <v>527</v>
      </c>
      <c r="F211" s="60" t="s">
        <v>522</v>
      </c>
      <c r="G211" s="61">
        <v>750000</v>
      </c>
      <c r="H211" s="52">
        <v>618000</v>
      </c>
      <c r="I211" s="52">
        <f>Table13[[#This Row],[Publish Rate]]-Table13[[#This Row],[Offering Corporate Rate 2026]]</f>
        <v>132000</v>
      </c>
      <c r="J211" s="85" t="str">
        <f>IF(Table13[[#This Row],[Nilai Selisih]]&gt;100000,"Recommend","Revise")</f>
        <v>Recommend</v>
      </c>
      <c r="K211" s="17" t="s">
        <v>3</v>
      </c>
      <c r="L211" s="30" t="s">
        <v>528</v>
      </c>
      <c r="M211" s="18" t="s">
        <v>3</v>
      </c>
    </row>
    <row r="212" spans="1:13" ht="14" customHeight="1" x14ac:dyDescent="0.3">
      <c r="A212" s="9">
        <v>1</v>
      </c>
      <c r="B212" s="9" t="s">
        <v>0</v>
      </c>
      <c r="C212" s="30" t="s">
        <v>17</v>
      </c>
      <c r="D212" s="30" t="s">
        <v>1808</v>
      </c>
      <c r="E212" s="10" t="s">
        <v>529</v>
      </c>
      <c r="F212" s="47" t="s">
        <v>530</v>
      </c>
      <c r="G212" s="83">
        <v>1197900</v>
      </c>
      <c r="H212" s="16">
        <v>1200000</v>
      </c>
      <c r="I212" s="16">
        <f>Table13[[#This Row],[Publish Rate]]-Table13[[#This Row],[Offering Corporate Rate 2026]]</f>
        <v>-2100</v>
      </c>
      <c r="J212" s="17" t="str">
        <f>IF(Table13[[#This Row],[Nilai Selisih]]&gt;100000,"Recommend","Revise")</f>
        <v>Revise</v>
      </c>
      <c r="K212" s="17" t="s">
        <v>3</v>
      </c>
      <c r="L212" s="30" t="s">
        <v>531</v>
      </c>
      <c r="M212" s="18" t="s">
        <v>3</v>
      </c>
    </row>
    <row r="213" spans="1:13" ht="14" customHeight="1" x14ac:dyDescent="0.3">
      <c r="A213" s="9">
        <v>1</v>
      </c>
      <c r="B213" s="9" t="s">
        <v>0</v>
      </c>
      <c r="C213" s="30" t="s">
        <v>532</v>
      </c>
      <c r="D213" s="30" t="s">
        <v>1809</v>
      </c>
      <c r="E213" s="10" t="s">
        <v>533</v>
      </c>
      <c r="F213" s="47" t="s">
        <v>534</v>
      </c>
      <c r="G213" s="49">
        <v>937750</v>
      </c>
      <c r="H213" s="16">
        <v>858000</v>
      </c>
      <c r="I213" s="16">
        <f>Table13[[#This Row],[Publish Rate]]-Table13[[#This Row],[Offering Corporate Rate 2026]]</f>
        <v>79750</v>
      </c>
      <c r="J213" s="17" t="str">
        <f>IF(Table13[[#This Row],[Nilai Selisih]]&gt;100000,"Recommend","Revise")</f>
        <v>Revise</v>
      </c>
      <c r="K213" s="17" t="s">
        <v>3</v>
      </c>
      <c r="L213" s="10" t="s">
        <v>535</v>
      </c>
      <c r="M213" s="18" t="s">
        <v>3</v>
      </c>
    </row>
    <row r="214" spans="1:13" ht="14" customHeight="1" x14ac:dyDescent="0.3">
      <c r="A214" s="9">
        <v>1</v>
      </c>
      <c r="B214" s="9" t="s">
        <v>0</v>
      </c>
      <c r="C214" s="30" t="s">
        <v>532</v>
      </c>
      <c r="D214" s="30" t="s">
        <v>1809</v>
      </c>
      <c r="E214" s="10" t="s">
        <v>536</v>
      </c>
      <c r="F214" s="47" t="s">
        <v>537</v>
      </c>
      <c r="G214" s="49">
        <v>1681900</v>
      </c>
      <c r="H214" s="16">
        <v>1200000</v>
      </c>
      <c r="I214" s="16">
        <f>Table13[[#This Row],[Publish Rate]]-Table13[[#This Row],[Offering Corporate Rate 2026]]</f>
        <v>481900</v>
      </c>
      <c r="J214" s="17" t="str">
        <f>IF(Table13[[#This Row],[Nilai Selisih]]&gt;100000,"Recommend","Revise")</f>
        <v>Recommend</v>
      </c>
      <c r="K214" s="17" t="s">
        <v>3</v>
      </c>
      <c r="L214" s="10" t="s">
        <v>535</v>
      </c>
      <c r="M214" s="18" t="s">
        <v>3</v>
      </c>
    </row>
    <row r="215" spans="1:13" ht="14" customHeight="1" x14ac:dyDescent="0.3">
      <c r="A215" s="9">
        <v>1</v>
      </c>
      <c r="B215" s="9" t="s">
        <v>0</v>
      </c>
      <c r="C215" s="30" t="s">
        <v>532</v>
      </c>
      <c r="D215" s="30" t="s">
        <v>1806</v>
      </c>
      <c r="E215" s="10" t="s">
        <v>538</v>
      </c>
      <c r="F215" s="47" t="s">
        <v>539</v>
      </c>
      <c r="G215" s="49">
        <v>3932500</v>
      </c>
      <c r="H215" s="91">
        <v>2000000</v>
      </c>
      <c r="I215" s="16">
        <f>Table13[[#This Row],[Publish Rate]]-Table13[[#This Row],[Offering Corporate Rate 2026]]</f>
        <v>1932500</v>
      </c>
      <c r="J215" s="17" t="str">
        <f>IF(Table13[[#This Row],[Nilai Selisih]]&gt;100000,"Recommend","Revise")</f>
        <v>Recommend</v>
      </c>
      <c r="K215" s="17" t="s">
        <v>3</v>
      </c>
      <c r="L215" s="10" t="s">
        <v>535</v>
      </c>
      <c r="M215" s="18" t="s">
        <v>3</v>
      </c>
    </row>
    <row r="216" spans="1:13" ht="14" customHeight="1" x14ac:dyDescent="0.3">
      <c r="A216" s="9">
        <v>1</v>
      </c>
      <c r="B216" s="9" t="s">
        <v>0</v>
      </c>
      <c r="C216" s="30" t="s">
        <v>532</v>
      </c>
      <c r="D216" s="30" t="s">
        <v>1806</v>
      </c>
      <c r="E216" s="10" t="s">
        <v>540</v>
      </c>
      <c r="F216" s="47" t="s">
        <v>541</v>
      </c>
      <c r="G216" s="49">
        <v>1778700</v>
      </c>
      <c r="H216" s="16">
        <v>1200000</v>
      </c>
      <c r="I216" s="16">
        <f>Table13[[#This Row],[Publish Rate]]-Table13[[#This Row],[Offering Corporate Rate 2026]]</f>
        <v>578700</v>
      </c>
      <c r="J216" s="17" t="str">
        <f>IF(Table13[[#This Row],[Nilai Selisih]]&gt;100000,"Recommend","Revise")</f>
        <v>Recommend</v>
      </c>
      <c r="K216" s="17" t="s">
        <v>3</v>
      </c>
      <c r="L216" s="10" t="s">
        <v>535</v>
      </c>
      <c r="M216" s="18" t="s">
        <v>3</v>
      </c>
    </row>
    <row r="217" spans="1:13" ht="14" customHeight="1" x14ac:dyDescent="0.3">
      <c r="A217" s="9">
        <v>1</v>
      </c>
      <c r="B217" s="9" t="s">
        <v>0</v>
      </c>
      <c r="C217" s="30" t="s">
        <v>532</v>
      </c>
      <c r="D217" s="30" t="s">
        <v>1806</v>
      </c>
      <c r="E217" s="30" t="s">
        <v>542</v>
      </c>
      <c r="F217" s="60" t="s">
        <v>543</v>
      </c>
      <c r="G217" s="61">
        <v>2270000</v>
      </c>
      <c r="H217" s="52">
        <v>1400000</v>
      </c>
      <c r="I217" s="52">
        <f>Table13[[#This Row],[Publish Rate]]-Table13[[#This Row],[Offering Corporate Rate 2026]]</f>
        <v>870000</v>
      </c>
      <c r="J217" s="85" t="str">
        <f>IF(Table13[[#This Row],[Nilai Selisih]]&gt;100000,"Recommend","Revise")</f>
        <v>Recommend</v>
      </c>
      <c r="K217" s="17" t="s">
        <v>3</v>
      </c>
      <c r="L217" s="30" t="s">
        <v>535</v>
      </c>
      <c r="M217" s="18" t="s">
        <v>3</v>
      </c>
    </row>
    <row r="218" spans="1:13" ht="14" customHeight="1" x14ac:dyDescent="0.3">
      <c r="A218" s="9">
        <v>1</v>
      </c>
      <c r="B218" s="9" t="s">
        <v>0</v>
      </c>
      <c r="C218" s="30" t="s">
        <v>532</v>
      </c>
      <c r="D218" s="30" t="s">
        <v>1806</v>
      </c>
      <c r="E218" s="30" t="s">
        <v>544</v>
      </c>
      <c r="F218" s="60" t="s">
        <v>545</v>
      </c>
      <c r="G218" s="61">
        <v>4080725</v>
      </c>
      <c r="H218" s="52">
        <v>1800000</v>
      </c>
      <c r="I218" s="52">
        <f>Table13[[#This Row],[Publish Rate]]-Table13[[#This Row],[Offering Corporate Rate 2026]]</f>
        <v>2280725</v>
      </c>
      <c r="J218" s="85" t="str">
        <f>IF(Table13[[#This Row],[Nilai Selisih]]&gt;100000,"Recommend","Revise")</f>
        <v>Recommend</v>
      </c>
      <c r="K218" s="17" t="s">
        <v>3</v>
      </c>
      <c r="L218" s="30" t="s">
        <v>535</v>
      </c>
      <c r="M218" s="18" t="s">
        <v>3</v>
      </c>
    </row>
    <row r="219" spans="1:13" ht="14" customHeight="1" x14ac:dyDescent="0.3">
      <c r="A219" s="9">
        <v>1</v>
      </c>
      <c r="B219" s="9" t="s">
        <v>0</v>
      </c>
      <c r="C219" s="30" t="s">
        <v>532</v>
      </c>
      <c r="D219" s="30" t="s">
        <v>1816</v>
      </c>
      <c r="E219" s="30" t="s">
        <v>546</v>
      </c>
      <c r="F219" s="60" t="s">
        <v>547</v>
      </c>
      <c r="G219" s="61">
        <v>1343100</v>
      </c>
      <c r="H219" s="52">
        <v>950000</v>
      </c>
      <c r="I219" s="52">
        <f>Table13[[#This Row],[Publish Rate]]-Table13[[#This Row],[Offering Corporate Rate 2026]]</f>
        <v>393100</v>
      </c>
      <c r="J219" s="85" t="str">
        <f>IF(Table13[[#This Row],[Nilai Selisih]]&gt;100000,"Recommend","Revise")</f>
        <v>Recommend</v>
      </c>
      <c r="K219" s="17" t="s">
        <v>3</v>
      </c>
      <c r="L219" s="30" t="s">
        <v>535</v>
      </c>
      <c r="M219" s="18" t="s">
        <v>3</v>
      </c>
    </row>
    <row r="220" spans="1:13" ht="14" customHeight="1" x14ac:dyDescent="0.3">
      <c r="A220" s="9">
        <v>1</v>
      </c>
      <c r="B220" s="9" t="s">
        <v>0</v>
      </c>
      <c r="C220" s="30" t="s">
        <v>532</v>
      </c>
      <c r="D220" s="10" t="s">
        <v>1816</v>
      </c>
      <c r="E220" s="10" t="s">
        <v>548</v>
      </c>
      <c r="F220" s="47" t="s">
        <v>549</v>
      </c>
      <c r="G220" s="49">
        <v>1839200</v>
      </c>
      <c r="H220" s="16">
        <v>1600000</v>
      </c>
      <c r="I220" s="16">
        <f>Table13[[#This Row],[Publish Rate]]-Table13[[#This Row],[Offering Corporate Rate 2026]]</f>
        <v>239200</v>
      </c>
      <c r="J220" s="85" t="str">
        <f>IF(Table13[[#This Row],[Nilai Selisih]]&gt;100000,"Recommend","Revise")</f>
        <v>Recommend</v>
      </c>
      <c r="K220" s="17" t="s">
        <v>3</v>
      </c>
      <c r="L220" s="30" t="s">
        <v>535</v>
      </c>
      <c r="M220" s="18" t="s">
        <v>3</v>
      </c>
    </row>
    <row r="221" spans="1:13" ht="14" customHeight="1" x14ac:dyDescent="0.3">
      <c r="A221" s="9">
        <v>1</v>
      </c>
      <c r="B221" s="9" t="s">
        <v>0</v>
      </c>
      <c r="C221" s="30" t="s">
        <v>532</v>
      </c>
      <c r="D221" s="10" t="s">
        <v>513</v>
      </c>
      <c r="E221" s="10" t="s">
        <v>550</v>
      </c>
      <c r="F221" s="47" t="s">
        <v>551</v>
      </c>
      <c r="G221" s="49">
        <v>6897000</v>
      </c>
      <c r="H221" s="16">
        <v>1700000</v>
      </c>
      <c r="I221" s="16">
        <f>Table13[[#This Row],[Publish Rate]]-Table13[[#This Row],[Offering Corporate Rate 2026]]</f>
        <v>5197000</v>
      </c>
      <c r="J221" s="85" t="str">
        <f>IF(Table13[[#This Row],[Nilai Selisih]]&gt;100000,"Recommend","Revise")</f>
        <v>Recommend</v>
      </c>
      <c r="K221" s="17" t="s">
        <v>3</v>
      </c>
      <c r="L221" s="10" t="s">
        <v>535</v>
      </c>
      <c r="M221" s="18" t="s">
        <v>3</v>
      </c>
    </row>
    <row r="222" spans="1:13" ht="14" customHeight="1" x14ac:dyDescent="0.3">
      <c r="A222" s="9">
        <v>1</v>
      </c>
      <c r="B222" s="9" t="s">
        <v>0</v>
      </c>
      <c r="C222" s="30" t="s">
        <v>532</v>
      </c>
      <c r="D222" s="30" t="s">
        <v>1008</v>
      </c>
      <c r="E222" s="30" t="s">
        <v>552</v>
      </c>
      <c r="F222" s="60" t="s">
        <v>551</v>
      </c>
      <c r="G222" s="61">
        <v>1436875</v>
      </c>
      <c r="H222" s="52">
        <v>1200000</v>
      </c>
      <c r="I222" s="52">
        <f>Table13[[#This Row],[Publish Rate]]-Table13[[#This Row],[Offering Corporate Rate 2026]]</f>
        <v>236875</v>
      </c>
      <c r="J222" s="85" t="str">
        <f>IF(Table13[[#This Row],[Nilai Selisih]]&gt;100000,"Recommend","Revise")</f>
        <v>Recommend</v>
      </c>
      <c r="K222" s="17" t="s">
        <v>3</v>
      </c>
      <c r="L222" s="10" t="s">
        <v>553</v>
      </c>
      <c r="M222" s="18" t="s">
        <v>3</v>
      </c>
    </row>
    <row r="223" spans="1:13" ht="14" customHeight="1" x14ac:dyDescent="0.3">
      <c r="A223" s="9">
        <v>1</v>
      </c>
      <c r="B223" s="9" t="s">
        <v>0</v>
      </c>
      <c r="C223" s="30" t="s">
        <v>532</v>
      </c>
      <c r="D223" s="30" t="s">
        <v>1008</v>
      </c>
      <c r="E223" s="30" t="s">
        <v>554</v>
      </c>
      <c r="F223" s="60" t="s">
        <v>555</v>
      </c>
      <c r="G223" s="61">
        <v>1675971</v>
      </c>
      <c r="H223" s="52">
        <v>1400000</v>
      </c>
      <c r="I223" s="52">
        <f>Table13[[#This Row],[Publish Rate]]-Table13[[#This Row],[Offering Corporate Rate 2026]]</f>
        <v>275971</v>
      </c>
      <c r="J223" s="85" t="str">
        <f>IF(Table13[[#This Row],[Nilai Selisih]]&gt;100000,"Recommend","Revise")</f>
        <v>Recommend</v>
      </c>
      <c r="K223" s="17" t="s">
        <v>3</v>
      </c>
      <c r="L223" s="30" t="s">
        <v>556</v>
      </c>
      <c r="M223" s="18" t="s">
        <v>3</v>
      </c>
    </row>
    <row r="224" spans="1:13" ht="14" customHeight="1" x14ac:dyDescent="0.3">
      <c r="A224" s="9">
        <v>1</v>
      </c>
      <c r="B224" s="9" t="s">
        <v>0</v>
      </c>
      <c r="C224" s="92" t="s">
        <v>532</v>
      </c>
      <c r="D224" s="64" t="s">
        <v>724</v>
      </c>
      <c r="E224" s="64" t="s">
        <v>14</v>
      </c>
      <c r="F224" s="47" t="s">
        <v>557</v>
      </c>
      <c r="G224" s="61">
        <v>911554</v>
      </c>
      <c r="H224" s="55">
        <v>900000</v>
      </c>
      <c r="I224" s="52">
        <f>Table13[[#This Row],[Publish Rate]]-Table13[[#This Row],[Offering Corporate Rate 2026]]</f>
        <v>11554</v>
      </c>
      <c r="J224" s="85" t="str">
        <f>IF(Table13[[#This Row],[Nilai Selisih]]&gt;100000,"Recommend","Revise")</f>
        <v>Revise</v>
      </c>
      <c r="K224" s="17" t="s">
        <v>3</v>
      </c>
      <c r="L224" s="64" t="s">
        <v>558</v>
      </c>
      <c r="M224" s="18" t="s">
        <v>3</v>
      </c>
    </row>
    <row r="225" spans="1:13" ht="14" customHeight="1" x14ac:dyDescent="0.3">
      <c r="A225" s="9">
        <v>1</v>
      </c>
      <c r="B225" s="9" t="s">
        <v>0</v>
      </c>
      <c r="C225" s="92" t="s">
        <v>532</v>
      </c>
      <c r="D225" s="64" t="s">
        <v>724</v>
      </c>
      <c r="E225" s="64" t="s">
        <v>559</v>
      </c>
      <c r="F225" s="47" t="s">
        <v>28</v>
      </c>
      <c r="G225" s="61">
        <v>1194331</v>
      </c>
      <c r="H225" s="55">
        <v>1200000</v>
      </c>
      <c r="I225" s="52">
        <f>Table13[[#This Row],[Publish Rate]]-Table13[[#This Row],[Offering Corporate Rate 2026]]</f>
        <v>-5669</v>
      </c>
      <c r="J225" s="85" t="str">
        <f>IF(Table13[[#This Row],[Nilai Selisih]]&gt;100000,"Recommend","Revise")</f>
        <v>Revise</v>
      </c>
      <c r="K225" s="17" t="s">
        <v>3</v>
      </c>
      <c r="L225" s="64" t="s">
        <v>560</v>
      </c>
      <c r="M225" s="18" t="s">
        <v>3</v>
      </c>
    </row>
    <row r="226" spans="1:13" ht="14" customHeight="1" x14ac:dyDescent="0.3">
      <c r="A226" s="9">
        <v>1</v>
      </c>
      <c r="B226" s="9" t="s">
        <v>0</v>
      </c>
      <c r="C226" s="92" t="s">
        <v>532</v>
      </c>
      <c r="D226" s="64" t="s">
        <v>1808</v>
      </c>
      <c r="E226" s="64" t="s">
        <v>561</v>
      </c>
      <c r="F226" s="47" t="s">
        <v>562</v>
      </c>
      <c r="G226" s="61">
        <v>1092025</v>
      </c>
      <c r="H226" s="55">
        <v>1200000</v>
      </c>
      <c r="I226" s="52">
        <f>Table13[[#This Row],[Publish Rate]]-Table13[[#This Row],[Offering Corporate Rate 2026]]</f>
        <v>-107975</v>
      </c>
      <c r="J226" s="85" t="str">
        <f>IF(Table13[[#This Row],[Nilai Selisih]]&gt;100000,"Recommend","Revise")</f>
        <v>Revise</v>
      </c>
      <c r="K226" s="17" t="s">
        <v>3</v>
      </c>
      <c r="L226" s="64" t="s">
        <v>563</v>
      </c>
      <c r="M226" s="18" t="s">
        <v>3</v>
      </c>
    </row>
    <row r="227" spans="1:13" ht="14" customHeight="1" x14ac:dyDescent="0.3">
      <c r="A227" s="9">
        <v>1</v>
      </c>
      <c r="B227" s="9" t="s">
        <v>0</v>
      </c>
      <c r="C227" s="92" t="s">
        <v>532</v>
      </c>
      <c r="D227" s="64" t="s">
        <v>1808</v>
      </c>
      <c r="E227" s="64" t="s">
        <v>564</v>
      </c>
      <c r="F227" s="47" t="s">
        <v>565</v>
      </c>
      <c r="G227" s="61">
        <v>1494350</v>
      </c>
      <c r="H227" s="55">
        <v>1200000</v>
      </c>
      <c r="I227" s="52">
        <f>Table13[[#This Row],[Publish Rate]]-Table13[[#This Row],[Offering Corporate Rate 2026]]</f>
        <v>294350</v>
      </c>
      <c r="J227" s="85" t="str">
        <f>IF(Table13[[#This Row],[Nilai Selisih]]&gt;100000,"Recommend","Revise")</f>
        <v>Recommend</v>
      </c>
      <c r="K227" s="17" t="s">
        <v>3</v>
      </c>
      <c r="L227" s="64" t="s">
        <v>566</v>
      </c>
      <c r="M227" s="18" t="s">
        <v>3</v>
      </c>
    </row>
    <row r="228" spans="1:13" ht="14" customHeight="1" x14ac:dyDescent="0.3">
      <c r="A228" s="9">
        <v>1</v>
      </c>
      <c r="B228" s="9" t="s">
        <v>0</v>
      </c>
      <c r="C228" s="92" t="s">
        <v>532</v>
      </c>
      <c r="D228" s="64" t="s">
        <v>1808</v>
      </c>
      <c r="E228" s="64" t="s">
        <v>567</v>
      </c>
      <c r="F228" s="47" t="s">
        <v>568</v>
      </c>
      <c r="G228" s="61">
        <v>1206975</v>
      </c>
      <c r="H228" s="55">
        <v>1200000</v>
      </c>
      <c r="I228" s="52">
        <f>Table13[[#This Row],[Publish Rate]]-Table13[[#This Row],[Offering Corporate Rate 2026]]</f>
        <v>6975</v>
      </c>
      <c r="J228" s="85" t="str">
        <f>IF(Table13[[#This Row],[Nilai Selisih]]&gt;100000,"Recommend","Revise")</f>
        <v>Revise</v>
      </c>
      <c r="K228" s="17" t="s">
        <v>3</v>
      </c>
      <c r="L228" s="64" t="s">
        <v>569</v>
      </c>
      <c r="M228" s="18" t="s">
        <v>3</v>
      </c>
    </row>
    <row r="229" spans="1:13" ht="14" customHeight="1" x14ac:dyDescent="0.3">
      <c r="A229" s="9">
        <v>1</v>
      </c>
      <c r="B229" s="9" t="s">
        <v>0</v>
      </c>
      <c r="C229" s="92" t="s">
        <v>532</v>
      </c>
      <c r="D229" s="64" t="s">
        <v>1808</v>
      </c>
      <c r="E229" s="64" t="s">
        <v>570</v>
      </c>
      <c r="F229" s="47" t="s">
        <v>571</v>
      </c>
      <c r="G229" s="61">
        <v>1505845</v>
      </c>
      <c r="H229" s="55">
        <v>1200000</v>
      </c>
      <c r="I229" s="52">
        <f>Table13[[#This Row],[Publish Rate]]-Table13[[#This Row],[Offering Corporate Rate 2026]]</f>
        <v>305845</v>
      </c>
      <c r="J229" s="85" t="str">
        <f>IF(Table13[[#This Row],[Nilai Selisih]]&gt;100000,"Recommend","Revise")</f>
        <v>Recommend</v>
      </c>
      <c r="K229" s="17" t="s">
        <v>3</v>
      </c>
      <c r="L229" s="64" t="s">
        <v>566</v>
      </c>
      <c r="M229" s="18" t="s">
        <v>3</v>
      </c>
    </row>
    <row r="230" spans="1:13" ht="14" customHeight="1" x14ac:dyDescent="0.3">
      <c r="A230" s="9">
        <v>1</v>
      </c>
      <c r="B230" s="9" t="s">
        <v>0</v>
      </c>
      <c r="C230" s="92" t="s">
        <v>532</v>
      </c>
      <c r="D230" s="64" t="s">
        <v>1808</v>
      </c>
      <c r="E230" s="64" t="s">
        <v>572</v>
      </c>
      <c r="F230" s="47" t="s">
        <v>573</v>
      </c>
      <c r="G230" s="61">
        <v>3333550</v>
      </c>
      <c r="H230" s="55">
        <v>2050000</v>
      </c>
      <c r="I230" s="52">
        <f>Table13[[#This Row],[Publish Rate]]-Table13[[#This Row],[Offering Corporate Rate 2026]]</f>
        <v>1283550</v>
      </c>
      <c r="J230" s="85" t="str">
        <f>IF(Table13[[#This Row],[Nilai Selisih]]&gt;100000,"Recommend","Revise")</f>
        <v>Recommend</v>
      </c>
      <c r="K230" s="17" t="s">
        <v>3</v>
      </c>
      <c r="L230" s="64" t="s">
        <v>574</v>
      </c>
      <c r="M230" s="18" t="s">
        <v>3</v>
      </c>
    </row>
    <row r="231" spans="1:13" ht="14" customHeight="1" x14ac:dyDescent="0.3">
      <c r="A231" s="9">
        <v>1</v>
      </c>
      <c r="B231" s="9" t="s">
        <v>0</v>
      </c>
      <c r="C231" s="92" t="s">
        <v>532</v>
      </c>
      <c r="D231" s="64" t="s">
        <v>1808</v>
      </c>
      <c r="E231" s="64" t="s">
        <v>575</v>
      </c>
      <c r="F231" s="47" t="s">
        <v>576</v>
      </c>
      <c r="G231" s="61">
        <v>2356475</v>
      </c>
      <c r="H231" s="55">
        <v>1800000</v>
      </c>
      <c r="I231" s="52">
        <f>Table13[[#This Row],[Publish Rate]]-Table13[[#This Row],[Offering Corporate Rate 2026]]</f>
        <v>556475</v>
      </c>
      <c r="J231" s="85" t="str">
        <f>IF(Table13[[#This Row],[Nilai Selisih]]&gt;100000,"Recommend","Revise")</f>
        <v>Recommend</v>
      </c>
      <c r="K231" s="17" t="s">
        <v>3</v>
      </c>
      <c r="L231" s="64" t="s">
        <v>577</v>
      </c>
      <c r="M231" s="18" t="s">
        <v>3</v>
      </c>
    </row>
    <row r="232" spans="1:13" ht="14" customHeight="1" x14ac:dyDescent="0.3">
      <c r="A232" s="9">
        <v>1</v>
      </c>
      <c r="B232" s="9" t="s">
        <v>0</v>
      </c>
      <c r="C232" s="92" t="s">
        <v>532</v>
      </c>
      <c r="D232" s="64" t="s">
        <v>1808</v>
      </c>
      <c r="E232" s="64" t="s">
        <v>578</v>
      </c>
      <c r="F232" s="47" t="s">
        <v>579</v>
      </c>
      <c r="G232" s="61">
        <v>2069100</v>
      </c>
      <c r="H232" s="55">
        <v>1600000</v>
      </c>
      <c r="I232" s="52">
        <f>Table13[[#This Row],[Publish Rate]]-Table13[[#This Row],[Offering Corporate Rate 2026]]</f>
        <v>469100</v>
      </c>
      <c r="J232" s="85" t="str">
        <f>IF(Table13[[#This Row],[Nilai Selisih]]&gt;100000,"Recommend","Revise")</f>
        <v>Recommend</v>
      </c>
      <c r="K232" s="17" t="s">
        <v>3</v>
      </c>
      <c r="L232" s="64" t="s">
        <v>580</v>
      </c>
      <c r="M232" s="18" t="s">
        <v>3</v>
      </c>
    </row>
    <row r="233" spans="1:13" ht="14" customHeight="1" x14ac:dyDescent="0.3">
      <c r="A233" s="9">
        <v>1</v>
      </c>
      <c r="B233" s="9" t="s">
        <v>0</v>
      </c>
      <c r="C233" s="92" t="s">
        <v>532</v>
      </c>
      <c r="D233" s="64" t="s">
        <v>1808</v>
      </c>
      <c r="E233" s="64" t="s">
        <v>581</v>
      </c>
      <c r="F233" s="47" t="s">
        <v>582</v>
      </c>
      <c r="G233" s="61">
        <v>2413950</v>
      </c>
      <c r="H233" s="55">
        <v>2050000</v>
      </c>
      <c r="I233" s="52">
        <f>Table13[[#This Row],[Publish Rate]]-Table13[[#This Row],[Offering Corporate Rate 2026]]</f>
        <v>363950</v>
      </c>
      <c r="J233" s="85" t="str">
        <f>IF(Table13[[#This Row],[Nilai Selisih]]&gt;100000,"Recommend","Revise")</f>
        <v>Recommend</v>
      </c>
      <c r="K233" s="17" t="s">
        <v>3</v>
      </c>
      <c r="L233" s="64" t="s">
        <v>583</v>
      </c>
      <c r="M233" s="18" t="s">
        <v>3</v>
      </c>
    </row>
    <row r="234" spans="1:13" ht="14" customHeight="1" x14ac:dyDescent="0.3">
      <c r="A234" s="9">
        <v>1</v>
      </c>
      <c r="B234" s="9" t="s">
        <v>0</v>
      </c>
      <c r="C234" s="92" t="s">
        <v>532</v>
      </c>
      <c r="D234" s="64" t="s">
        <v>1808</v>
      </c>
      <c r="E234" s="64" t="s">
        <v>584</v>
      </c>
      <c r="F234" s="47" t="s">
        <v>585</v>
      </c>
      <c r="G234" s="61">
        <v>2230030</v>
      </c>
      <c r="H234" s="55">
        <v>1400000</v>
      </c>
      <c r="I234" s="52">
        <f>Table13[[#This Row],[Publish Rate]]-Table13[[#This Row],[Offering Corporate Rate 2026]]</f>
        <v>830030</v>
      </c>
      <c r="J234" s="85" t="str">
        <f>IF(Table13[[#This Row],[Nilai Selisih]]&gt;100000,"Recommend","Revise")</f>
        <v>Recommend</v>
      </c>
      <c r="K234" s="17" t="s">
        <v>3</v>
      </c>
      <c r="L234" s="93" t="s">
        <v>586</v>
      </c>
      <c r="M234" s="18" t="s">
        <v>3</v>
      </c>
    </row>
    <row r="235" spans="1:13" ht="14" customHeight="1" x14ac:dyDescent="0.3">
      <c r="A235" s="9">
        <v>1</v>
      </c>
      <c r="B235" s="9" t="s">
        <v>0</v>
      </c>
      <c r="C235" s="92" t="s">
        <v>532</v>
      </c>
      <c r="D235" s="64" t="s">
        <v>1808</v>
      </c>
      <c r="E235" s="64" t="s">
        <v>587</v>
      </c>
      <c r="F235" s="47" t="s">
        <v>588</v>
      </c>
      <c r="G235" s="61">
        <v>3620925</v>
      </c>
      <c r="H235" s="55">
        <v>2500000</v>
      </c>
      <c r="I235" s="52">
        <f>Table13[[#This Row],[Publish Rate]]-Table13[[#This Row],[Offering Corporate Rate 2026]]</f>
        <v>1120925</v>
      </c>
      <c r="J235" s="85" t="str">
        <f>IF(Table13[[#This Row],[Nilai Selisih]]&gt;100000,"Recommend","Revise")</f>
        <v>Recommend</v>
      </c>
      <c r="K235" s="17" t="s">
        <v>3</v>
      </c>
      <c r="L235" s="93" t="s">
        <v>589</v>
      </c>
      <c r="M235" s="18" t="s">
        <v>3</v>
      </c>
    </row>
    <row r="236" spans="1:13" ht="14" customHeight="1" x14ac:dyDescent="0.3">
      <c r="A236" s="9">
        <v>1</v>
      </c>
      <c r="B236" s="9" t="s">
        <v>0</v>
      </c>
      <c r="C236" s="92" t="s">
        <v>532</v>
      </c>
      <c r="D236" s="64" t="s">
        <v>1808</v>
      </c>
      <c r="E236" s="64" t="s">
        <v>590</v>
      </c>
      <c r="F236" s="47" t="s">
        <v>591</v>
      </c>
      <c r="G236" s="61">
        <v>4655475</v>
      </c>
      <c r="H236" s="55">
        <v>2200000</v>
      </c>
      <c r="I236" s="52">
        <f>Table13[[#This Row],[Publish Rate]]-Table13[[#This Row],[Offering Corporate Rate 2026]]</f>
        <v>2455475</v>
      </c>
      <c r="J236" s="85" t="str">
        <f>IF(Table13[[#This Row],[Nilai Selisih]]&gt;100000,"Recommend","Revise")</f>
        <v>Recommend</v>
      </c>
      <c r="K236" s="17" t="s">
        <v>3</v>
      </c>
      <c r="L236" s="93" t="s">
        <v>592</v>
      </c>
      <c r="M236" s="18" t="s">
        <v>3</v>
      </c>
    </row>
    <row r="237" spans="1:13" ht="14" customHeight="1" x14ac:dyDescent="0.3">
      <c r="A237" s="9">
        <v>1</v>
      </c>
      <c r="B237" s="9" t="s">
        <v>0</v>
      </c>
      <c r="C237" s="92" t="s">
        <v>532</v>
      </c>
      <c r="D237" s="64" t="s">
        <v>1808</v>
      </c>
      <c r="E237" s="64" t="s">
        <v>593</v>
      </c>
      <c r="F237" s="47" t="s">
        <v>594</v>
      </c>
      <c r="G237" s="61">
        <v>3787603</v>
      </c>
      <c r="H237" s="55">
        <v>2800000</v>
      </c>
      <c r="I237" s="52">
        <f>Table13[[#This Row],[Publish Rate]]-Table13[[#This Row],[Offering Corporate Rate 2026]]</f>
        <v>987603</v>
      </c>
      <c r="J237" s="85" t="str">
        <f>IF(Table13[[#This Row],[Nilai Selisih]]&gt;100000,"Recommend","Revise")</f>
        <v>Recommend</v>
      </c>
      <c r="K237" s="17" t="s">
        <v>3</v>
      </c>
      <c r="L237" s="93" t="s">
        <v>595</v>
      </c>
      <c r="M237" s="18" t="s">
        <v>3</v>
      </c>
    </row>
    <row r="238" spans="1:13" ht="14" customHeight="1" x14ac:dyDescent="0.3">
      <c r="A238" s="9">
        <v>1</v>
      </c>
      <c r="B238" s="9" t="s">
        <v>0</v>
      </c>
      <c r="C238" s="92" t="s">
        <v>532</v>
      </c>
      <c r="D238" s="64" t="s">
        <v>1808</v>
      </c>
      <c r="E238" s="64" t="s">
        <v>596</v>
      </c>
      <c r="F238" s="47" t="s">
        <v>597</v>
      </c>
      <c r="G238" s="61">
        <v>2528900</v>
      </c>
      <c r="H238" s="55">
        <v>2150000</v>
      </c>
      <c r="I238" s="52">
        <f>Table13[[#This Row],[Publish Rate]]-Table13[[#This Row],[Offering Corporate Rate 2026]]</f>
        <v>378900</v>
      </c>
      <c r="J238" s="85" t="str">
        <f>IF(Table13[[#This Row],[Nilai Selisih]]&gt;100000,"Recommend","Revise")</f>
        <v>Recommend</v>
      </c>
      <c r="K238" s="17" t="s">
        <v>3</v>
      </c>
      <c r="L238" s="93" t="s">
        <v>586</v>
      </c>
      <c r="M238" s="18" t="s">
        <v>3</v>
      </c>
    </row>
    <row r="239" spans="1:13" ht="14" customHeight="1" x14ac:dyDescent="0.3">
      <c r="A239" s="9">
        <v>1</v>
      </c>
      <c r="B239" s="9" t="s">
        <v>0</v>
      </c>
      <c r="C239" s="92" t="s">
        <v>532</v>
      </c>
      <c r="D239" s="64" t="s">
        <v>724</v>
      </c>
      <c r="E239" s="64" t="s">
        <v>598</v>
      </c>
      <c r="F239" s="47" t="s">
        <v>599</v>
      </c>
      <c r="G239" s="61">
        <v>1724250</v>
      </c>
      <c r="H239" s="55">
        <v>1350000</v>
      </c>
      <c r="I239" s="52">
        <f>Table13[[#This Row],[Publish Rate]]-Table13[[#This Row],[Offering Corporate Rate 2026]]</f>
        <v>374250</v>
      </c>
      <c r="J239" s="85" t="str">
        <f>IF(Table13[[#This Row],[Nilai Selisih]]&gt;100000,"Recommend","Revise")</f>
        <v>Recommend</v>
      </c>
      <c r="K239" s="17" t="s">
        <v>3</v>
      </c>
      <c r="L239" s="93" t="s">
        <v>600</v>
      </c>
      <c r="M239" s="18" t="s">
        <v>3</v>
      </c>
    </row>
    <row r="240" spans="1:13" ht="14" customHeight="1" x14ac:dyDescent="0.3">
      <c r="A240" s="9">
        <v>1</v>
      </c>
      <c r="B240" s="9" t="s">
        <v>0</v>
      </c>
      <c r="C240" s="92" t="s">
        <v>532</v>
      </c>
      <c r="D240" s="64" t="s">
        <v>724</v>
      </c>
      <c r="E240" s="64" t="s">
        <v>601</v>
      </c>
      <c r="F240" s="47" t="s">
        <v>602</v>
      </c>
      <c r="G240" s="61">
        <v>2069100</v>
      </c>
      <c r="H240" s="55">
        <v>1400000</v>
      </c>
      <c r="I240" s="52">
        <f>Table13[[#This Row],[Publish Rate]]-Table13[[#This Row],[Offering Corporate Rate 2026]]</f>
        <v>669100</v>
      </c>
      <c r="J240" s="85" t="str">
        <f>IF(Table13[[#This Row],[Nilai Selisih]]&gt;100000,"Recommend","Revise")</f>
        <v>Recommend</v>
      </c>
      <c r="K240" s="17" t="s">
        <v>3</v>
      </c>
      <c r="L240" s="93" t="s">
        <v>586</v>
      </c>
      <c r="M240" s="18" t="s">
        <v>3</v>
      </c>
    </row>
    <row r="241" spans="1:13" ht="14" customHeight="1" x14ac:dyDescent="0.3">
      <c r="A241" s="9">
        <v>1</v>
      </c>
      <c r="B241" s="9" t="s">
        <v>0</v>
      </c>
      <c r="C241" s="92" t="s">
        <v>532</v>
      </c>
      <c r="D241" s="64" t="s">
        <v>724</v>
      </c>
      <c r="E241" s="64" t="s">
        <v>603</v>
      </c>
      <c r="F241" s="47" t="s">
        <v>604</v>
      </c>
      <c r="G241" s="61">
        <v>1172490</v>
      </c>
      <c r="H241" s="55">
        <v>1000000</v>
      </c>
      <c r="I241" s="52">
        <f>Table13[[#This Row],[Publish Rate]]-Table13[[#This Row],[Offering Corporate Rate 2026]]</f>
        <v>172490</v>
      </c>
      <c r="J241" s="85" t="str">
        <f>IF(Table13[[#This Row],[Nilai Selisih]]&gt;100000,"Recommend","Revise")</f>
        <v>Recommend</v>
      </c>
      <c r="K241" s="17" t="s">
        <v>3</v>
      </c>
      <c r="L241" s="93" t="s">
        <v>605</v>
      </c>
      <c r="M241" s="18" t="s">
        <v>3</v>
      </c>
    </row>
    <row r="242" spans="1:13" ht="14" customHeight="1" x14ac:dyDescent="0.3">
      <c r="A242" s="9">
        <v>1</v>
      </c>
      <c r="B242" s="9" t="s">
        <v>0</v>
      </c>
      <c r="C242" s="92" t="s">
        <v>532</v>
      </c>
      <c r="D242" s="64" t="s">
        <v>724</v>
      </c>
      <c r="E242" s="64" t="s">
        <v>606</v>
      </c>
      <c r="F242" s="47" t="s">
        <v>607</v>
      </c>
      <c r="G242" s="61">
        <v>3046175</v>
      </c>
      <c r="H242" s="55">
        <v>1605000</v>
      </c>
      <c r="I242" s="52">
        <f>Table13[[#This Row],[Publish Rate]]-Table13[[#This Row],[Offering Corporate Rate 2026]]</f>
        <v>1441175</v>
      </c>
      <c r="J242" s="85" t="str">
        <f>IF(Table13[[#This Row],[Nilai Selisih]]&gt;100000,"Recommend","Revise")</f>
        <v>Recommend</v>
      </c>
      <c r="K242" s="17" t="s">
        <v>3</v>
      </c>
      <c r="L242" s="93" t="s">
        <v>608</v>
      </c>
      <c r="M242" s="18" t="s">
        <v>3</v>
      </c>
    </row>
    <row r="243" spans="1:13" ht="14" customHeight="1" x14ac:dyDescent="0.3">
      <c r="A243" s="9">
        <v>1</v>
      </c>
      <c r="B243" s="9" t="s">
        <v>0</v>
      </c>
      <c r="C243" s="92" t="s">
        <v>532</v>
      </c>
      <c r="D243" s="64" t="s">
        <v>1269</v>
      </c>
      <c r="E243" s="64" t="s">
        <v>609</v>
      </c>
      <c r="F243" s="47" t="s">
        <v>610</v>
      </c>
      <c r="G243" s="61">
        <v>919600</v>
      </c>
      <c r="H243" s="55">
        <v>875000</v>
      </c>
      <c r="I243" s="52">
        <f>Table13[[#This Row],[Publish Rate]]-Table13[[#This Row],[Offering Corporate Rate 2026]]</f>
        <v>44600</v>
      </c>
      <c r="J243" s="85" t="str">
        <f>IF(Table13[[#This Row],[Nilai Selisih]]&gt;100000,"Recommend","Revise")</f>
        <v>Revise</v>
      </c>
      <c r="K243" s="17" t="s">
        <v>3</v>
      </c>
      <c r="L243" s="64" t="s">
        <v>611</v>
      </c>
      <c r="M243" s="18" t="s">
        <v>3</v>
      </c>
    </row>
    <row r="244" spans="1:13" ht="14" customHeight="1" x14ac:dyDescent="0.3">
      <c r="A244" s="9">
        <v>1</v>
      </c>
      <c r="B244" s="9" t="s">
        <v>0</v>
      </c>
      <c r="C244" s="92" t="s">
        <v>532</v>
      </c>
      <c r="D244" s="64" t="s">
        <v>1811</v>
      </c>
      <c r="E244" s="64" t="s">
        <v>612</v>
      </c>
      <c r="F244" s="47" t="s">
        <v>613</v>
      </c>
      <c r="G244" s="61">
        <v>2471425</v>
      </c>
      <c r="H244" s="55">
        <v>1400000</v>
      </c>
      <c r="I244" s="52">
        <f>Table13[[#This Row],[Publish Rate]]-Table13[[#This Row],[Offering Corporate Rate 2026]]</f>
        <v>1071425</v>
      </c>
      <c r="J244" s="85" t="str">
        <f>IF(Table13[[#This Row],[Nilai Selisih]]&gt;100000,"Recommend","Revise")</f>
        <v>Recommend</v>
      </c>
      <c r="K244" s="17" t="s">
        <v>3</v>
      </c>
      <c r="L244" s="93" t="s">
        <v>614</v>
      </c>
      <c r="M244" s="18" t="s">
        <v>3</v>
      </c>
    </row>
    <row r="245" spans="1:13" ht="14" customHeight="1" x14ac:dyDescent="0.3">
      <c r="A245" s="9">
        <v>1</v>
      </c>
      <c r="B245" s="9" t="s">
        <v>0</v>
      </c>
      <c r="C245" s="92" t="s">
        <v>532</v>
      </c>
      <c r="D245" s="64" t="s">
        <v>1268</v>
      </c>
      <c r="E245" s="64" t="s">
        <v>18</v>
      </c>
      <c r="F245" s="47" t="s">
        <v>615</v>
      </c>
      <c r="G245" s="61">
        <v>862125</v>
      </c>
      <c r="H245" s="55">
        <v>800000</v>
      </c>
      <c r="I245" s="52">
        <f>Table13[[#This Row],[Publish Rate]]-Table13[[#This Row],[Offering Corporate Rate 2026]]</f>
        <v>62125</v>
      </c>
      <c r="J245" s="85" t="str">
        <f>IF(Table13[[#This Row],[Nilai Selisih]]&gt;100000,"Recommend","Revise")</f>
        <v>Revise</v>
      </c>
      <c r="K245" s="17" t="s">
        <v>3</v>
      </c>
      <c r="L245" s="93" t="s">
        <v>616</v>
      </c>
      <c r="M245" s="18" t="s">
        <v>3</v>
      </c>
    </row>
    <row r="246" spans="1:13" ht="14" customHeight="1" x14ac:dyDescent="0.3">
      <c r="A246" s="9">
        <v>1</v>
      </c>
      <c r="B246" s="9" t="s">
        <v>0</v>
      </c>
      <c r="C246" s="92" t="s">
        <v>532</v>
      </c>
      <c r="D246" s="64" t="s">
        <v>1268</v>
      </c>
      <c r="E246" s="64" t="s">
        <v>617</v>
      </c>
      <c r="F246" s="47" t="s">
        <v>618</v>
      </c>
      <c r="G246" s="61">
        <v>684528</v>
      </c>
      <c r="H246" s="55">
        <v>800000</v>
      </c>
      <c r="I246" s="52">
        <f>Table13[[#This Row],[Publish Rate]]-Table13[[#This Row],[Offering Corporate Rate 2026]]</f>
        <v>-115472</v>
      </c>
      <c r="J246" s="85" t="str">
        <f>IF(Table13[[#This Row],[Nilai Selisih]]&gt;100000,"Recommend","Revise")</f>
        <v>Revise</v>
      </c>
      <c r="K246" s="17" t="s">
        <v>3</v>
      </c>
      <c r="L246" s="93" t="s">
        <v>586</v>
      </c>
      <c r="M246" s="18" t="s">
        <v>3</v>
      </c>
    </row>
    <row r="247" spans="1:13" ht="14" customHeight="1" x14ac:dyDescent="0.3">
      <c r="A247" s="9">
        <v>1</v>
      </c>
      <c r="B247" s="9" t="s">
        <v>0</v>
      </c>
      <c r="C247" s="92" t="s">
        <v>532</v>
      </c>
      <c r="D247" s="64" t="s">
        <v>1268</v>
      </c>
      <c r="E247" s="64" t="s">
        <v>619</v>
      </c>
      <c r="F247" s="47" t="s">
        <v>620</v>
      </c>
      <c r="G247" s="61">
        <v>1459865</v>
      </c>
      <c r="H247" s="55">
        <v>1200000</v>
      </c>
      <c r="I247" s="52">
        <f>Table13[[#This Row],[Publish Rate]]-Table13[[#This Row],[Offering Corporate Rate 2026]]</f>
        <v>259865</v>
      </c>
      <c r="J247" s="85" t="str">
        <f>IF(Table13[[#This Row],[Nilai Selisih]]&gt;100000,"Recommend","Revise")</f>
        <v>Recommend</v>
      </c>
      <c r="K247" s="17" t="s">
        <v>3</v>
      </c>
      <c r="L247" s="93" t="s">
        <v>605</v>
      </c>
      <c r="M247" s="18" t="s">
        <v>3</v>
      </c>
    </row>
    <row r="248" spans="1:13" ht="14" customHeight="1" x14ac:dyDescent="0.3">
      <c r="A248" s="9">
        <v>1</v>
      </c>
      <c r="B248" s="9" t="s">
        <v>0</v>
      </c>
      <c r="C248" s="92" t="s">
        <v>532</v>
      </c>
      <c r="D248" s="64" t="s">
        <v>1268</v>
      </c>
      <c r="E248" s="64" t="s">
        <v>621</v>
      </c>
      <c r="F248" s="47" t="s">
        <v>622</v>
      </c>
      <c r="G248" s="61">
        <v>1657700</v>
      </c>
      <c r="H248" s="55">
        <v>1250000</v>
      </c>
      <c r="I248" s="52">
        <f>Table13[[#This Row],[Publish Rate]]-Table13[[#This Row],[Offering Corporate Rate 2026]]</f>
        <v>407700</v>
      </c>
      <c r="J248" s="85" t="str">
        <f>IF(Table13[[#This Row],[Nilai Selisih]]&gt;100000,"Recommend","Revise")</f>
        <v>Recommend</v>
      </c>
      <c r="K248" s="17" t="s">
        <v>3</v>
      </c>
      <c r="L248" s="94" t="s">
        <v>623</v>
      </c>
      <c r="M248" s="18" t="s">
        <v>3</v>
      </c>
    </row>
    <row r="249" spans="1:13" ht="14" customHeight="1" x14ac:dyDescent="0.3">
      <c r="A249" s="9">
        <v>1</v>
      </c>
      <c r="B249" s="9" t="s">
        <v>0</v>
      </c>
      <c r="C249" s="92" t="s">
        <v>532</v>
      </c>
      <c r="D249" s="64" t="s">
        <v>1268</v>
      </c>
      <c r="E249" s="64" t="s">
        <v>624</v>
      </c>
      <c r="F249" s="47" t="s">
        <v>625</v>
      </c>
      <c r="G249" s="61">
        <v>2480500</v>
      </c>
      <c r="H249" s="55">
        <v>1300000</v>
      </c>
      <c r="I249" s="52">
        <f>Table13[[#This Row],[Publish Rate]]-Table13[[#This Row],[Offering Corporate Rate 2026]]</f>
        <v>1180500</v>
      </c>
      <c r="J249" s="85" t="str">
        <f>IF(Table13[[#This Row],[Nilai Selisih]]&gt;100000,"Recommend","Revise")</f>
        <v>Recommend</v>
      </c>
      <c r="K249" s="17" t="s">
        <v>3</v>
      </c>
      <c r="L249" s="64" t="s">
        <v>626</v>
      </c>
      <c r="M249" s="18" t="s">
        <v>3</v>
      </c>
    </row>
    <row r="250" spans="1:13" ht="14" customHeight="1" x14ac:dyDescent="0.3">
      <c r="A250" s="9">
        <v>1</v>
      </c>
      <c r="B250" s="9" t="s">
        <v>0</v>
      </c>
      <c r="C250" s="92" t="s">
        <v>532</v>
      </c>
      <c r="D250" s="64" t="s">
        <v>1268</v>
      </c>
      <c r="E250" s="64" t="s">
        <v>627</v>
      </c>
      <c r="F250" s="47" t="s">
        <v>628</v>
      </c>
      <c r="G250" s="61">
        <v>1931160</v>
      </c>
      <c r="H250" s="55">
        <v>1400000</v>
      </c>
      <c r="I250" s="52">
        <f>Table13[[#This Row],[Publish Rate]]-Table13[[#This Row],[Offering Corporate Rate 2026]]</f>
        <v>531160</v>
      </c>
      <c r="J250" s="85" t="str">
        <f>IF(Table13[[#This Row],[Nilai Selisih]]&gt;100000,"Recommend","Revise")</f>
        <v>Recommend</v>
      </c>
      <c r="K250" s="17" t="s">
        <v>3</v>
      </c>
      <c r="L250" s="64" t="s">
        <v>629</v>
      </c>
      <c r="M250" s="18" t="s">
        <v>3</v>
      </c>
    </row>
    <row r="251" spans="1:13" ht="14" customHeight="1" x14ac:dyDescent="0.3">
      <c r="A251" s="9">
        <v>1</v>
      </c>
      <c r="B251" s="9" t="s">
        <v>0</v>
      </c>
      <c r="C251" s="92" t="s">
        <v>532</v>
      </c>
      <c r="D251" s="64" t="s">
        <v>1268</v>
      </c>
      <c r="E251" s="64" t="s">
        <v>630</v>
      </c>
      <c r="F251" s="47" t="s">
        <v>631</v>
      </c>
      <c r="G251" s="61">
        <v>2885850</v>
      </c>
      <c r="H251" s="55">
        <v>2057000</v>
      </c>
      <c r="I251" s="52">
        <f>Table13[[#This Row],[Publish Rate]]-Table13[[#This Row],[Offering Corporate Rate 2026]]</f>
        <v>828850</v>
      </c>
      <c r="J251" s="85" t="str">
        <f>IF(Table13[[#This Row],[Nilai Selisih]]&gt;100000,"Recommend","Revise")</f>
        <v>Recommend</v>
      </c>
      <c r="K251" s="17" t="s">
        <v>3</v>
      </c>
      <c r="L251" s="64" t="s">
        <v>632</v>
      </c>
      <c r="M251" s="18" t="s">
        <v>3</v>
      </c>
    </row>
    <row r="252" spans="1:13" ht="14" customHeight="1" x14ac:dyDescent="0.3">
      <c r="A252" s="9">
        <v>1</v>
      </c>
      <c r="B252" s="9" t="s">
        <v>0</v>
      </c>
      <c r="C252" s="92" t="s">
        <v>532</v>
      </c>
      <c r="D252" s="64" t="s">
        <v>1804</v>
      </c>
      <c r="E252" s="12" t="s">
        <v>633</v>
      </c>
      <c r="F252" s="47" t="s">
        <v>634</v>
      </c>
      <c r="G252" s="61">
        <v>1391500</v>
      </c>
      <c r="H252" s="55">
        <v>1350000</v>
      </c>
      <c r="I252" s="52">
        <f>Table13[[#This Row],[Publish Rate]]-Table13[[#This Row],[Offering Corporate Rate 2026]]</f>
        <v>41500</v>
      </c>
      <c r="J252" s="85" t="str">
        <f>IF(Table13[[#This Row],[Nilai Selisih]]&gt;100000,"Recommend","Revise")</f>
        <v>Revise</v>
      </c>
      <c r="K252" s="17" t="s">
        <v>3</v>
      </c>
      <c r="L252" s="64" t="s">
        <v>635</v>
      </c>
      <c r="M252" s="18" t="s">
        <v>3</v>
      </c>
    </row>
    <row r="253" spans="1:13" ht="14" customHeight="1" x14ac:dyDescent="0.3">
      <c r="A253" s="9">
        <v>1</v>
      </c>
      <c r="B253" s="9" t="s">
        <v>0</v>
      </c>
      <c r="C253" s="92" t="s">
        <v>532</v>
      </c>
      <c r="D253" s="64" t="s">
        <v>1810</v>
      </c>
      <c r="E253" s="64" t="s">
        <v>636</v>
      </c>
      <c r="F253" s="47" t="s">
        <v>637</v>
      </c>
      <c r="G253" s="61">
        <v>848331</v>
      </c>
      <c r="H253" s="55">
        <v>1000000</v>
      </c>
      <c r="I253" s="52">
        <f>Table13[[#This Row],[Publish Rate]]-Table13[[#This Row],[Offering Corporate Rate 2026]]</f>
        <v>-151669</v>
      </c>
      <c r="J253" s="85" t="str">
        <f>IF(Table13[[#This Row],[Nilai Selisih]]&gt;100000,"Recommend","Revise")</f>
        <v>Revise</v>
      </c>
      <c r="K253" s="17" t="s">
        <v>3</v>
      </c>
      <c r="L253" s="64" t="s">
        <v>638</v>
      </c>
      <c r="M253" s="18" t="s">
        <v>3</v>
      </c>
    </row>
    <row r="254" spans="1:13" ht="14" customHeight="1" x14ac:dyDescent="0.3">
      <c r="A254" s="9">
        <v>1</v>
      </c>
      <c r="B254" s="9" t="s">
        <v>0</v>
      </c>
      <c r="C254" s="92" t="s">
        <v>532</v>
      </c>
      <c r="D254" s="64" t="s">
        <v>1565</v>
      </c>
      <c r="E254" s="64" t="s">
        <v>639</v>
      </c>
      <c r="F254" s="47" t="s">
        <v>640</v>
      </c>
      <c r="G254" s="61">
        <v>1246300</v>
      </c>
      <c r="H254" s="55">
        <v>1198000</v>
      </c>
      <c r="I254" s="52">
        <f>Table13[[#This Row],[Publish Rate]]-Table13[[#This Row],[Offering Corporate Rate 2026]]</f>
        <v>48300</v>
      </c>
      <c r="J254" s="85" t="str">
        <f>IF(Table13[[#This Row],[Nilai Selisih]]&gt;100000,"Recommend","Revise")</f>
        <v>Revise</v>
      </c>
      <c r="K254" s="17" t="s">
        <v>3</v>
      </c>
      <c r="L254" s="64" t="s">
        <v>641</v>
      </c>
      <c r="M254" s="18" t="s">
        <v>3</v>
      </c>
    </row>
    <row r="255" spans="1:13" ht="14" customHeight="1" x14ac:dyDescent="0.3">
      <c r="A255" s="9">
        <v>1</v>
      </c>
      <c r="B255" s="9" t="s">
        <v>0</v>
      </c>
      <c r="C255" s="92" t="s">
        <v>532</v>
      </c>
      <c r="D255" s="64" t="s">
        <v>1813</v>
      </c>
      <c r="E255" s="64" t="s">
        <v>642</v>
      </c>
      <c r="F255" s="47" t="s">
        <v>643</v>
      </c>
      <c r="G255" s="61">
        <v>871200</v>
      </c>
      <c r="H255" s="55">
        <v>890000</v>
      </c>
      <c r="I255" s="52">
        <f>Table13[[#This Row],[Publish Rate]]-Table13[[#This Row],[Offering Corporate Rate 2026]]</f>
        <v>-18800</v>
      </c>
      <c r="J255" s="85" t="str">
        <f>IF(Table13[[#This Row],[Nilai Selisih]]&gt;100000,"Recommend","Revise")</f>
        <v>Revise</v>
      </c>
      <c r="K255" s="17" t="s">
        <v>3</v>
      </c>
      <c r="L255" s="64" t="s">
        <v>644</v>
      </c>
      <c r="M255" s="18" t="s">
        <v>3</v>
      </c>
    </row>
    <row r="256" spans="1:13" ht="14" customHeight="1" x14ac:dyDescent="0.3">
      <c r="A256" s="9">
        <v>1</v>
      </c>
      <c r="B256" s="9" t="s">
        <v>0</v>
      </c>
      <c r="C256" s="92" t="s">
        <v>532</v>
      </c>
      <c r="D256" s="64" t="s">
        <v>30</v>
      </c>
      <c r="E256" s="64" t="s">
        <v>645</v>
      </c>
      <c r="F256" s="47" t="s">
        <v>646</v>
      </c>
      <c r="G256" s="61">
        <v>1850695</v>
      </c>
      <c r="H256" s="55">
        <v>1350000</v>
      </c>
      <c r="I256" s="52">
        <f>Table13[[#This Row],[Publish Rate]]-Table13[[#This Row],[Offering Corporate Rate 2026]]</f>
        <v>500695</v>
      </c>
      <c r="J256" s="85" t="str">
        <f>IF(Table13[[#This Row],[Nilai Selisih]]&gt;100000,"Recommend","Revise")</f>
        <v>Recommend</v>
      </c>
      <c r="K256" s="17" t="s">
        <v>3</v>
      </c>
      <c r="L256" s="64" t="s">
        <v>647</v>
      </c>
      <c r="M256" s="18" t="s">
        <v>3</v>
      </c>
    </row>
    <row r="257" spans="1:13" ht="14" customHeight="1" x14ac:dyDescent="0.3">
      <c r="A257" s="9">
        <v>1</v>
      </c>
      <c r="B257" s="9" t="s">
        <v>0</v>
      </c>
      <c r="C257" s="92" t="s">
        <v>532</v>
      </c>
      <c r="D257" s="64" t="s">
        <v>30</v>
      </c>
      <c r="E257" s="64" t="s">
        <v>648</v>
      </c>
      <c r="F257" s="47" t="s">
        <v>649</v>
      </c>
      <c r="G257" s="61">
        <v>1458050</v>
      </c>
      <c r="H257" s="55">
        <v>1400000</v>
      </c>
      <c r="I257" s="52">
        <f>Table13[[#This Row],[Publish Rate]]-Table13[[#This Row],[Offering Corporate Rate 2026]]</f>
        <v>58050</v>
      </c>
      <c r="J257" s="85" t="str">
        <f>IF(Table13[[#This Row],[Nilai Selisih]]&gt;100000,"Recommend","Revise")</f>
        <v>Revise</v>
      </c>
      <c r="K257" s="17" t="s">
        <v>3</v>
      </c>
      <c r="L257" s="64" t="s">
        <v>650</v>
      </c>
      <c r="M257" s="18" t="s">
        <v>3</v>
      </c>
    </row>
    <row r="258" spans="1:13" ht="14" customHeight="1" x14ac:dyDescent="0.3">
      <c r="A258" s="9">
        <v>1</v>
      </c>
      <c r="B258" s="9" t="s">
        <v>0</v>
      </c>
      <c r="C258" s="92" t="s">
        <v>532</v>
      </c>
      <c r="D258" s="64" t="s">
        <v>30</v>
      </c>
      <c r="E258" s="64" t="s">
        <v>651</v>
      </c>
      <c r="F258" s="47" t="s">
        <v>652</v>
      </c>
      <c r="G258" s="61">
        <v>5445000</v>
      </c>
      <c r="H258" s="55">
        <v>5000000</v>
      </c>
      <c r="I258" s="52">
        <f>Table13[[#This Row],[Publish Rate]]-Table13[[#This Row],[Offering Corporate Rate 2026]]</f>
        <v>445000</v>
      </c>
      <c r="J258" s="85" t="str">
        <f>IF(Table13[[#This Row],[Nilai Selisih]]&gt;100000,"Recommend","Revise")</f>
        <v>Recommend</v>
      </c>
      <c r="K258" s="17" t="s">
        <v>3</v>
      </c>
      <c r="L258" s="64" t="s">
        <v>653</v>
      </c>
      <c r="M258" s="18" t="s">
        <v>3</v>
      </c>
    </row>
    <row r="259" spans="1:13" ht="14" customHeight="1" x14ac:dyDescent="0.3">
      <c r="A259" s="9">
        <v>1</v>
      </c>
      <c r="B259" s="9" t="s">
        <v>0</v>
      </c>
      <c r="C259" s="92" t="s">
        <v>532</v>
      </c>
      <c r="D259" s="64" t="s">
        <v>30</v>
      </c>
      <c r="E259" s="64" t="s">
        <v>654</v>
      </c>
      <c r="F259" s="47" t="s">
        <v>655</v>
      </c>
      <c r="G259" s="61">
        <v>5294355</v>
      </c>
      <c r="H259" s="55">
        <v>4500000</v>
      </c>
      <c r="I259" s="52">
        <f>Table13[[#This Row],[Publish Rate]]-Table13[[#This Row],[Offering Corporate Rate 2026]]</f>
        <v>794355</v>
      </c>
      <c r="J259" s="85" t="str">
        <f>IF(Table13[[#This Row],[Nilai Selisih]]&gt;100000,"Recommend","Revise")</f>
        <v>Recommend</v>
      </c>
      <c r="K259" s="17" t="s">
        <v>3</v>
      </c>
      <c r="L259" s="64" t="s">
        <v>656</v>
      </c>
      <c r="M259" s="18" t="s">
        <v>3</v>
      </c>
    </row>
    <row r="260" spans="1:13" ht="14" customHeight="1" x14ac:dyDescent="0.3">
      <c r="A260" s="9">
        <v>1</v>
      </c>
      <c r="B260" s="9" t="s">
        <v>0</v>
      </c>
      <c r="C260" s="92" t="s">
        <v>532</v>
      </c>
      <c r="D260" s="64" t="s">
        <v>30</v>
      </c>
      <c r="E260" s="64" t="s">
        <v>657</v>
      </c>
      <c r="F260" s="47" t="s">
        <v>658</v>
      </c>
      <c r="G260" s="61">
        <v>1936000</v>
      </c>
      <c r="H260" s="55">
        <v>1700000</v>
      </c>
      <c r="I260" s="52">
        <f>Table13[[#This Row],[Publish Rate]]-Table13[[#This Row],[Offering Corporate Rate 2026]]</f>
        <v>236000</v>
      </c>
      <c r="J260" s="85" t="str">
        <f>IF(Table13[[#This Row],[Nilai Selisih]]&gt;100000,"Recommend","Revise")</f>
        <v>Recommend</v>
      </c>
      <c r="K260" s="17" t="s">
        <v>3</v>
      </c>
      <c r="L260" s="64" t="s">
        <v>659</v>
      </c>
      <c r="M260" s="18" t="s">
        <v>3</v>
      </c>
    </row>
    <row r="261" spans="1:13" ht="14" customHeight="1" x14ac:dyDescent="0.3">
      <c r="A261" s="9">
        <v>1</v>
      </c>
      <c r="B261" s="9" t="s">
        <v>0</v>
      </c>
      <c r="C261" s="92" t="s">
        <v>532</v>
      </c>
      <c r="D261" s="64" t="s">
        <v>30</v>
      </c>
      <c r="E261" s="64" t="s">
        <v>660</v>
      </c>
      <c r="F261" s="47" t="s">
        <v>661</v>
      </c>
      <c r="G261" s="61">
        <v>2165900</v>
      </c>
      <c r="H261" s="55">
        <v>1800000</v>
      </c>
      <c r="I261" s="52">
        <f>Table13[[#This Row],[Publish Rate]]-Table13[[#This Row],[Offering Corporate Rate 2026]]</f>
        <v>365900</v>
      </c>
      <c r="J261" s="85" t="str">
        <f>IF(Table13[[#This Row],[Nilai Selisih]]&gt;100000,"Recommend","Revise")</f>
        <v>Recommend</v>
      </c>
      <c r="K261" s="17" t="s">
        <v>3</v>
      </c>
      <c r="L261" s="64" t="s">
        <v>662</v>
      </c>
      <c r="M261" s="18" t="s">
        <v>3</v>
      </c>
    </row>
    <row r="262" spans="1:13" ht="14" customHeight="1" x14ac:dyDescent="0.3">
      <c r="A262" s="9">
        <v>1</v>
      </c>
      <c r="B262" s="9" t="s">
        <v>0</v>
      </c>
      <c r="C262" s="92" t="s">
        <v>532</v>
      </c>
      <c r="D262" s="64" t="s">
        <v>30</v>
      </c>
      <c r="E262" s="64" t="s">
        <v>663</v>
      </c>
      <c r="F262" s="47" t="s">
        <v>664</v>
      </c>
      <c r="G262" s="61">
        <v>2395800</v>
      </c>
      <c r="H262" s="55">
        <v>1400000</v>
      </c>
      <c r="I262" s="52">
        <f>Table13[[#This Row],[Publish Rate]]-Table13[[#This Row],[Offering Corporate Rate 2026]]</f>
        <v>995800</v>
      </c>
      <c r="J262" s="85" t="str">
        <f>IF(Table13[[#This Row],[Nilai Selisih]]&gt;100000,"Recommend","Revise")</f>
        <v>Recommend</v>
      </c>
      <c r="K262" s="17" t="s">
        <v>3</v>
      </c>
      <c r="L262" s="64" t="s">
        <v>665</v>
      </c>
      <c r="M262" s="18" t="s">
        <v>3</v>
      </c>
    </row>
    <row r="263" spans="1:13" ht="14" customHeight="1" x14ac:dyDescent="0.3">
      <c r="A263" s="9">
        <v>1</v>
      </c>
      <c r="B263" s="9" t="s">
        <v>0</v>
      </c>
      <c r="C263" s="92" t="s">
        <v>532</v>
      </c>
      <c r="D263" s="64" t="s">
        <v>30</v>
      </c>
      <c r="E263" s="64" t="s">
        <v>666</v>
      </c>
      <c r="F263" s="47" t="s">
        <v>667</v>
      </c>
      <c r="G263" s="61">
        <v>1028500</v>
      </c>
      <c r="H263" s="55">
        <v>850000</v>
      </c>
      <c r="I263" s="52">
        <f>Table13[[#This Row],[Publish Rate]]-Table13[[#This Row],[Offering Corporate Rate 2026]]</f>
        <v>178500</v>
      </c>
      <c r="J263" s="85" t="str">
        <f>IF(Table13[[#This Row],[Nilai Selisih]]&gt;100000,"Recommend","Revise")</f>
        <v>Recommend</v>
      </c>
      <c r="K263" s="17" t="s">
        <v>3</v>
      </c>
      <c r="L263" s="64" t="s">
        <v>668</v>
      </c>
      <c r="M263" s="18" t="s">
        <v>3</v>
      </c>
    </row>
    <row r="264" spans="1:13" ht="14" customHeight="1" x14ac:dyDescent="0.3">
      <c r="A264" s="9">
        <v>1</v>
      </c>
      <c r="B264" s="9" t="s">
        <v>0</v>
      </c>
      <c r="C264" s="92" t="s">
        <v>532</v>
      </c>
      <c r="D264" s="64" t="s">
        <v>30</v>
      </c>
      <c r="E264" s="64" t="s">
        <v>669</v>
      </c>
      <c r="F264" s="47" t="s">
        <v>670</v>
      </c>
      <c r="G264" s="61">
        <v>1109328</v>
      </c>
      <c r="H264" s="55">
        <v>930000</v>
      </c>
      <c r="I264" s="52">
        <f>Table13[[#This Row],[Publish Rate]]-Table13[[#This Row],[Offering Corporate Rate 2026]]</f>
        <v>179328</v>
      </c>
      <c r="J264" s="85" t="str">
        <f>IF(Table13[[#This Row],[Nilai Selisih]]&gt;100000,"Recommend","Revise")</f>
        <v>Recommend</v>
      </c>
      <c r="K264" s="17" t="s">
        <v>3</v>
      </c>
      <c r="L264" s="64" t="s">
        <v>671</v>
      </c>
      <c r="M264" s="18" t="s">
        <v>3</v>
      </c>
    </row>
    <row r="265" spans="1:13" ht="14" customHeight="1" x14ac:dyDescent="0.3">
      <c r="A265" s="9">
        <v>1</v>
      </c>
      <c r="B265" s="9" t="s">
        <v>0</v>
      </c>
      <c r="C265" s="92" t="s">
        <v>532</v>
      </c>
      <c r="D265" s="64" t="s">
        <v>30</v>
      </c>
      <c r="E265" s="64" t="s">
        <v>672</v>
      </c>
      <c r="F265" s="47" t="s">
        <v>673</v>
      </c>
      <c r="G265" s="61">
        <v>1113200</v>
      </c>
      <c r="H265" s="55">
        <v>950000</v>
      </c>
      <c r="I265" s="52">
        <f>Table13[[#This Row],[Publish Rate]]-Table13[[#This Row],[Offering Corporate Rate 2026]]</f>
        <v>163200</v>
      </c>
      <c r="J265" s="85" t="str">
        <f>IF(Table13[[#This Row],[Nilai Selisih]]&gt;100000,"Recommend","Revise")</f>
        <v>Recommend</v>
      </c>
      <c r="K265" s="17" t="s">
        <v>3</v>
      </c>
      <c r="L265" s="64" t="s">
        <v>674</v>
      </c>
      <c r="M265" s="18" t="s">
        <v>3</v>
      </c>
    </row>
    <row r="266" spans="1:13" ht="14" customHeight="1" x14ac:dyDescent="0.3">
      <c r="A266" s="9">
        <v>1</v>
      </c>
      <c r="B266" s="9" t="s">
        <v>0</v>
      </c>
      <c r="C266" s="92" t="s">
        <v>532</v>
      </c>
      <c r="D266" s="64" t="s">
        <v>30</v>
      </c>
      <c r="E266" s="64" t="s">
        <v>675</v>
      </c>
      <c r="F266" s="47" t="s">
        <v>676</v>
      </c>
      <c r="G266" s="61">
        <v>1089000</v>
      </c>
      <c r="H266" s="55">
        <v>800000</v>
      </c>
      <c r="I266" s="52">
        <f>Table13[[#This Row],[Publish Rate]]-Table13[[#This Row],[Offering Corporate Rate 2026]]</f>
        <v>289000</v>
      </c>
      <c r="J266" s="85" t="str">
        <f>IF(Table13[[#This Row],[Nilai Selisih]]&gt;100000,"Recommend","Revise")</f>
        <v>Recommend</v>
      </c>
      <c r="K266" s="17" t="s">
        <v>3</v>
      </c>
      <c r="L266" s="64" t="s">
        <v>677</v>
      </c>
      <c r="M266" s="18" t="s">
        <v>3</v>
      </c>
    </row>
    <row r="267" spans="1:13" ht="14" customHeight="1" x14ac:dyDescent="0.3">
      <c r="A267" s="9">
        <v>1</v>
      </c>
      <c r="B267" s="9" t="s">
        <v>0</v>
      </c>
      <c r="C267" s="92" t="s">
        <v>532</v>
      </c>
      <c r="D267" s="64" t="s">
        <v>30</v>
      </c>
      <c r="E267" s="64" t="s">
        <v>678</v>
      </c>
      <c r="F267" s="47" t="s">
        <v>613</v>
      </c>
      <c r="G267" s="61">
        <v>1427800</v>
      </c>
      <c r="H267" s="55">
        <v>1250000</v>
      </c>
      <c r="I267" s="52">
        <f>Table13[[#This Row],[Publish Rate]]-Table13[[#This Row],[Offering Corporate Rate 2026]]</f>
        <v>177800</v>
      </c>
      <c r="J267" s="85" t="str">
        <f>IF(Table13[[#This Row],[Nilai Selisih]]&gt;100000,"Recommend","Revise")</f>
        <v>Recommend</v>
      </c>
      <c r="K267" s="17" t="s">
        <v>3</v>
      </c>
      <c r="L267" s="64" t="s">
        <v>679</v>
      </c>
      <c r="M267" s="18" t="s">
        <v>3</v>
      </c>
    </row>
    <row r="268" spans="1:13" ht="14" customHeight="1" x14ac:dyDescent="0.3">
      <c r="A268" s="9">
        <v>1</v>
      </c>
      <c r="B268" s="9" t="s">
        <v>0</v>
      </c>
      <c r="C268" s="92" t="s">
        <v>532</v>
      </c>
      <c r="D268" s="64" t="s">
        <v>30</v>
      </c>
      <c r="E268" s="64" t="s">
        <v>680</v>
      </c>
      <c r="F268" s="47" t="s">
        <v>681</v>
      </c>
      <c r="G268" s="61">
        <v>1149500</v>
      </c>
      <c r="H268" s="55">
        <v>1200000</v>
      </c>
      <c r="I268" s="52">
        <f>Table13[[#This Row],[Publish Rate]]-Table13[[#This Row],[Offering Corporate Rate 2026]]</f>
        <v>-50500</v>
      </c>
      <c r="J268" s="85" t="str">
        <f>IF(Table13[[#This Row],[Nilai Selisih]]&gt;100000,"Recommend","Revise")</f>
        <v>Revise</v>
      </c>
      <c r="K268" s="17" t="s">
        <v>3</v>
      </c>
      <c r="L268" s="64" t="s">
        <v>682</v>
      </c>
      <c r="M268" s="18" t="s">
        <v>3</v>
      </c>
    </row>
    <row r="269" spans="1:13" ht="14" customHeight="1" x14ac:dyDescent="0.3">
      <c r="A269" s="9">
        <v>1</v>
      </c>
      <c r="B269" s="9" t="s">
        <v>0</v>
      </c>
      <c r="C269" s="92" t="s">
        <v>532</v>
      </c>
      <c r="D269" s="64" t="s">
        <v>30</v>
      </c>
      <c r="E269" s="64" t="s">
        <v>683</v>
      </c>
      <c r="F269" s="47" t="s">
        <v>684</v>
      </c>
      <c r="G269" s="61">
        <v>1560900</v>
      </c>
      <c r="H269" s="55">
        <v>1200000</v>
      </c>
      <c r="I269" s="52">
        <f>Table13[[#This Row],[Publish Rate]]-Table13[[#This Row],[Offering Corporate Rate 2026]]</f>
        <v>360900</v>
      </c>
      <c r="J269" s="85" t="str">
        <f>IF(Table13[[#This Row],[Nilai Selisih]]&gt;100000,"Recommend","Revise")</f>
        <v>Recommend</v>
      </c>
      <c r="K269" s="17" t="s">
        <v>3</v>
      </c>
      <c r="L269" s="64" t="s">
        <v>685</v>
      </c>
      <c r="M269" s="18" t="s">
        <v>3</v>
      </c>
    </row>
    <row r="270" spans="1:13" ht="14" customHeight="1" x14ac:dyDescent="0.3">
      <c r="A270" s="9">
        <v>1</v>
      </c>
      <c r="B270" s="9" t="s">
        <v>0</v>
      </c>
      <c r="C270" s="92" t="s">
        <v>532</v>
      </c>
      <c r="D270" s="64" t="s">
        <v>30</v>
      </c>
      <c r="E270" s="64" t="s">
        <v>686</v>
      </c>
      <c r="F270" s="47" t="s">
        <v>687</v>
      </c>
      <c r="G270" s="61">
        <v>2141700</v>
      </c>
      <c r="H270" s="55">
        <v>1800000</v>
      </c>
      <c r="I270" s="52">
        <f>Table13[[#This Row],[Publish Rate]]-Table13[[#This Row],[Offering Corporate Rate 2026]]</f>
        <v>341700</v>
      </c>
      <c r="J270" s="85" t="str">
        <f>IF(Table13[[#This Row],[Nilai Selisih]]&gt;100000,"Recommend","Revise")</f>
        <v>Recommend</v>
      </c>
      <c r="K270" s="17" t="s">
        <v>3</v>
      </c>
      <c r="L270" s="64" t="s">
        <v>688</v>
      </c>
      <c r="M270" s="18" t="s">
        <v>3</v>
      </c>
    </row>
    <row r="271" spans="1:13" ht="14" customHeight="1" x14ac:dyDescent="0.3">
      <c r="A271" s="9">
        <v>1</v>
      </c>
      <c r="B271" s="9" t="s">
        <v>0</v>
      </c>
      <c r="C271" s="92" t="s">
        <v>532</v>
      </c>
      <c r="D271" s="64" t="s">
        <v>30</v>
      </c>
      <c r="E271" s="64" t="s">
        <v>689</v>
      </c>
      <c r="F271" s="47" t="s">
        <v>690</v>
      </c>
      <c r="G271" s="61">
        <v>3025000</v>
      </c>
      <c r="H271" s="55">
        <v>2300000</v>
      </c>
      <c r="I271" s="52">
        <f>Table13[[#This Row],[Publish Rate]]-Table13[[#This Row],[Offering Corporate Rate 2026]]</f>
        <v>725000</v>
      </c>
      <c r="J271" s="85" t="str">
        <f>IF(Table13[[#This Row],[Nilai Selisih]]&gt;100000,"Recommend","Revise")</f>
        <v>Recommend</v>
      </c>
      <c r="K271" s="17" t="s">
        <v>3</v>
      </c>
      <c r="L271" s="64" t="s">
        <v>691</v>
      </c>
      <c r="M271" s="18" t="s">
        <v>3</v>
      </c>
    </row>
    <row r="272" spans="1:13" ht="14" customHeight="1" x14ac:dyDescent="0.3">
      <c r="A272" s="9">
        <v>1</v>
      </c>
      <c r="B272" s="9" t="s">
        <v>0</v>
      </c>
      <c r="C272" s="92" t="s">
        <v>532</v>
      </c>
      <c r="D272" s="64" t="s">
        <v>30</v>
      </c>
      <c r="E272" s="64" t="s">
        <v>692</v>
      </c>
      <c r="F272" s="47" t="s">
        <v>693</v>
      </c>
      <c r="G272" s="61">
        <v>3388000</v>
      </c>
      <c r="H272" s="55">
        <v>2500000</v>
      </c>
      <c r="I272" s="52">
        <f>Table13[[#This Row],[Publish Rate]]-Table13[[#This Row],[Offering Corporate Rate 2026]]</f>
        <v>888000</v>
      </c>
      <c r="J272" s="85" t="str">
        <f>IF(Table13[[#This Row],[Nilai Selisih]]&gt;100000,"Recommend","Revise")</f>
        <v>Recommend</v>
      </c>
      <c r="K272" s="17" t="s">
        <v>3</v>
      </c>
      <c r="L272" s="64" t="s">
        <v>694</v>
      </c>
      <c r="M272" s="18" t="s">
        <v>3</v>
      </c>
    </row>
    <row r="273" spans="1:13" ht="14" customHeight="1" x14ac:dyDescent="0.3">
      <c r="A273" s="9">
        <v>1</v>
      </c>
      <c r="B273" s="9" t="s">
        <v>0</v>
      </c>
      <c r="C273" s="92" t="s">
        <v>532</v>
      </c>
      <c r="D273" s="64" t="s">
        <v>30</v>
      </c>
      <c r="E273" s="64" t="s">
        <v>695</v>
      </c>
      <c r="F273" s="47" t="s">
        <v>646</v>
      </c>
      <c r="G273" s="61">
        <v>3085500</v>
      </c>
      <c r="H273" s="55">
        <v>2400000</v>
      </c>
      <c r="I273" s="52">
        <f>Table13[[#This Row],[Publish Rate]]-Table13[[#This Row],[Offering Corporate Rate 2026]]</f>
        <v>685500</v>
      </c>
      <c r="J273" s="85" t="str">
        <f>IF(Table13[[#This Row],[Nilai Selisih]]&gt;100000,"Recommend","Revise")</f>
        <v>Recommend</v>
      </c>
      <c r="K273" s="17" t="s">
        <v>3</v>
      </c>
      <c r="L273" s="64" t="s">
        <v>674</v>
      </c>
      <c r="M273" s="18" t="s">
        <v>3</v>
      </c>
    </row>
    <row r="274" spans="1:13" ht="14" customHeight="1" x14ac:dyDescent="0.3">
      <c r="A274" s="9">
        <v>1</v>
      </c>
      <c r="B274" s="9" t="s">
        <v>0</v>
      </c>
      <c r="C274" s="92" t="s">
        <v>532</v>
      </c>
      <c r="D274" s="64" t="s">
        <v>30</v>
      </c>
      <c r="E274" s="64" t="s">
        <v>696</v>
      </c>
      <c r="F274" s="47" t="s">
        <v>697</v>
      </c>
      <c r="G274" s="61">
        <v>2311100</v>
      </c>
      <c r="H274" s="55">
        <v>1750000</v>
      </c>
      <c r="I274" s="52">
        <f>Table13[[#This Row],[Publish Rate]]-Table13[[#This Row],[Offering Corporate Rate 2026]]</f>
        <v>561100</v>
      </c>
      <c r="J274" s="85" t="str">
        <f>IF(Table13[[#This Row],[Nilai Selisih]]&gt;100000,"Recommend","Revise")</f>
        <v>Recommend</v>
      </c>
      <c r="K274" s="17" t="s">
        <v>3</v>
      </c>
      <c r="L274" s="64" t="s">
        <v>698</v>
      </c>
      <c r="M274" s="18" t="s">
        <v>3</v>
      </c>
    </row>
    <row r="275" spans="1:13" ht="14" customHeight="1" x14ac:dyDescent="0.3">
      <c r="A275" s="9">
        <v>1</v>
      </c>
      <c r="B275" s="9" t="s">
        <v>0</v>
      </c>
      <c r="C275" s="92" t="s">
        <v>532</v>
      </c>
      <c r="D275" s="64" t="s">
        <v>30</v>
      </c>
      <c r="E275" s="64" t="s">
        <v>699</v>
      </c>
      <c r="F275" s="47" t="s">
        <v>700</v>
      </c>
      <c r="G275" s="61">
        <v>4598000</v>
      </c>
      <c r="H275" s="55">
        <v>3500000</v>
      </c>
      <c r="I275" s="52">
        <f>Table13[[#This Row],[Publish Rate]]-Table13[[#This Row],[Offering Corporate Rate 2026]]</f>
        <v>1098000</v>
      </c>
      <c r="J275" s="85" t="str">
        <f>IF(Table13[[#This Row],[Nilai Selisih]]&gt;100000,"Recommend","Revise")</f>
        <v>Recommend</v>
      </c>
      <c r="K275" s="17" t="s">
        <v>3</v>
      </c>
      <c r="L275" s="64" t="s">
        <v>659</v>
      </c>
      <c r="M275" s="18" t="s">
        <v>3</v>
      </c>
    </row>
    <row r="276" spans="1:13" ht="14" customHeight="1" x14ac:dyDescent="0.3">
      <c r="A276" s="9">
        <v>1</v>
      </c>
      <c r="B276" s="9" t="s">
        <v>0</v>
      </c>
      <c r="C276" s="92" t="s">
        <v>532</v>
      </c>
      <c r="D276" s="64" t="s">
        <v>30</v>
      </c>
      <c r="E276" s="64" t="s">
        <v>701</v>
      </c>
      <c r="F276" s="47" t="s">
        <v>702</v>
      </c>
      <c r="G276" s="61">
        <v>6897000</v>
      </c>
      <c r="H276" s="55">
        <v>4425000</v>
      </c>
      <c r="I276" s="52">
        <f>Table13[[#This Row],[Publish Rate]]-Table13[[#This Row],[Offering Corporate Rate 2026]]</f>
        <v>2472000</v>
      </c>
      <c r="J276" s="85" t="str">
        <f>IF(Table13[[#This Row],[Nilai Selisih]]&gt;100000,"Recommend","Revise")</f>
        <v>Recommend</v>
      </c>
      <c r="K276" s="17" t="s">
        <v>3</v>
      </c>
      <c r="L276" s="64" t="s">
        <v>703</v>
      </c>
      <c r="M276" s="18" t="s">
        <v>3</v>
      </c>
    </row>
    <row r="277" spans="1:13" ht="14" customHeight="1" x14ac:dyDescent="0.3">
      <c r="A277" s="9">
        <v>1</v>
      </c>
      <c r="B277" s="9" t="s">
        <v>0</v>
      </c>
      <c r="C277" s="92" t="s">
        <v>532</v>
      </c>
      <c r="D277" s="64" t="s">
        <v>30</v>
      </c>
      <c r="E277" s="64" t="s">
        <v>704</v>
      </c>
      <c r="F277" s="47" t="s">
        <v>705</v>
      </c>
      <c r="G277" s="61">
        <v>3509000</v>
      </c>
      <c r="H277" s="55">
        <v>3575000</v>
      </c>
      <c r="I277" s="52">
        <f>Table13[[#This Row],[Publish Rate]]-Table13[[#This Row],[Offering Corporate Rate 2026]]</f>
        <v>-66000</v>
      </c>
      <c r="J277" s="85" t="str">
        <f>IF(Table13[[#This Row],[Nilai Selisih]]&gt;100000,"Recommend","Revise")</f>
        <v>Revise</v>
      </c>
      <c r="K277" s="17" t="s">
        <v>3</v>
      </c>
      <c r="L277" s="64" t="s">
        <v>706</v>
      </c>
      <c r="M277" s="18" t="s">
        <v>3</v>
      </c>
    </row>
    <row r="278" spans="1:13" ht="14" customHeight="1" x14ac:dyDescent="0.3">
      <c r="A278" s="9">
        <v>1</v>
      </c>
      <c r="B278" s="9" t="s">
        <v>0</v>
      </c>
      <c r="C278" s="92" t="s">
        <v>532</v>
      </c>
      <c r="D278" s="64" t="s">
        <v>30</v>
      </c>
      <c r="E278" s="64" t="s">
        <v>707</v>
      </c>
      <c r="F278" s="47" t="s">
        <v>708</v>
      </c>
      <c r="G278" s="61">
        <v>3533200</v>
      </c>
      <c r="H278" s="55">
        <v>2500000</v>
      </c>
      <c r="I278" s="52">
        <f>Table13[[#This Row],[Publish Rate]]-Table13[[#This Row],[Offering Corporate Rate 2026]]</f>
        <v>1033200</v>
      </c>
      <c r="J278" s="85" t="str">
        <f>IF(Table13[[#This Row],[Nilai Selisih]]&gt;100000,"Recommend","Revise")</f>
        <v>Recommend</v>
      </c>
      <c r="K278" s="17" t="s">
        <v>3</v>
      </c>
      <c r="L278" s="64" t="s">
        <v>709</v>
      </c>
      <c r="M278" s="18" t="s">
        <v>3</v>
      </c>
    </row>
    <row r="279" spans="1:13" ht="14" customHeight="1" x14ac:dyDescent="0.3">
      <c r="A279" s="9">
        <v>1</v>
      </c>
      <c r="B279" s="9" t="s">
        <v>0</v>
      </c>
      <c r="C279" s="92" t="s">
        <v>532</v>
      </c>
      <c r="D279" s="64" t="s">
        <v>1814</v>
      </c>
      <c r="E279" s="64" t="s">
        <v>710</v>
      </c>
      <c r="F279" s="47" t="s">
        <v>711</v>
      </c>
      <c r="G279" s="61">
        <v>1548800</v>
      </c>
      <c r="H279" s="55">
        <v>1200000</v>
      </c>
      <c r="I279" s="52">
        <f>Table13[[#This Row],[Publish Rate]]-Table13[[#This Row],[Offering Corporate Rate 2026]]</f>
        <v>348800</v>
      </c>
      <c r="J279" s="85" t="str">
        <f>IF(Table13[[#This Row],[Nilai Selisih]]&gt;100000,"Recommend","Revise")</f>
        <v>Recommend</v>
      </c>
      <c r="K279" s="17" t="s">
        <v>3</v>
      </c>
      <c r="L279" s="64" t="s">
        <v>674</v>
      </c>
      <c r="M279" s="18" t="s">
        <v>3</v>
      </c>
    </row>
    <row r="280" spans="1:13" ht="14" customHeight="1" x14ac:dyDescent="0.3">
      <c r="A280" s="9">
        <v>1</v>
      </c>
      <c r="B280" s="9" t="s">
        <v>0</v>
      </c>
      <c r="C280" s="95" t="s">
        <v>532</v>
      </c>
      <c r="D280" s="96" t="s">
        <v>1814</v>
      </c>
      <c r="E280" s="97" t="s">
        <v>712</v>
      </c>
      <c r="F280" s="82" t="s">
        <v>713</v>
      </c>
      <c r="G280" s="98">
        <v>6655000</v>
      </c>
      <c r="H280" s="99">
        <v>5437500</v>
      </c>
      <c r="I280" s="100">
        <f>Table13[[#This Row],[Publish Rate]]-Table13[[#This Row],[Offering Corporate Rate 2026]]</f>
        <v>1217500</v>
      </c>
      <c r="J280" s="101" t="str">
        <f>IF(Table13[[#This Row],[Nilai Selisih]]&gt;100000,"Recommend","Revise")</f>
        <v>Recommend</v>
      </c>
      <c r="K280" s="17" t="s">
        <v>3</v>
      </c>
      <c r="L280" s="102" t="s">
        <v>714</v>
      </c>
      <c r="M280" s="18" t="s">
        <v>3</v>
      </c>
    </row>
    <row r="281" spans="1:13" ht="14" customHeight="1" x14ac:dyDescent="0.3">
      <c r="A281" s="9">
        <v>1</v>
      </c>
      <c r="B281" s="9" t="s">
        <v>0</v>
      </c>
      <c r="C281" s="92" t="s">
        <v>532</v>
      </c>
      <c r="D281" s="64" t="s">
        <v>1752</v>
      </c>
      <c r="E281" s="12" t="s">
        <v>715</v>
      </c>
      <c r="F281" s="47" t="s">
        <v>716</v>
      </c>
      <c r="G281" s="61">
        <v>6050000</v>
      </c>
      <c r="H281" s="55">
        <v>5000000</v>
      </c>
      <c r="I281" s="52">
        <f>Table13[[#This Row],[Publish Rate]]-Table13[[#This Row],[Offering Corporate Rate 2026]]</f>
        <v>1050000</v>
      </c>
      <c r="J281" s="85" t="str">
        <f>IF(Table13[[#This Row],[Nilai Selisih]]&gt;100000,"Recommend","Revise")</f>
        <v>Recommend</v>
      </c>
      <c r="K281" s="17" t="s">
        <v>3</v>
      </c>
      <c r="L281" s="64" t="s">
        <v>717</v>
      </c>
      <c r="M281" s="18" t="s">
        <v>3</v>
      </c>
    </row>
    <row r="282" spans="1:13" ht="14" customHeight="1" x14ac:dyDescent="0.3">
      <c r="A282" s="9">
        <v>1</v>
      </c>
      <c r="B282" s="9" t="s">
        <v>0</v>
      </c>
      <c r="C282" s="92" t="s">
        <v>718</v>
      </c>
      <c r="D282" s="64" t="s">
        <v>724</v>
      </c>
      <c r="E282" s="64" t="s">
        <v>719</v>
      </c>
      <c r="F282" s="47" t="s">
        <v>720</v>
      </c>
      <c r="G282" s="61">
        <v>1650000</v>
      </c>
      <c r="H282" s="55">
        <v>780000</v>
      </c>
      <c r="I282" s="52">
        <f>Table13[[#This Row],[Publish Rate]]-Table13[[#This Row],[Offering Corporate Rate 2026]]</f>
        <v>870000</v>
      </c>
      <c r="J282" s="85" t="str">
        <f>IF(Table13[[#This Row],[Nilai Selisih]]&gt;100000,"Recommend","Revise")</f>
        <v>Recommend</v>
      </c>
      <c r="K282" s="17" t="s">
        <v>3</v>
      </c>
      <c r="L282" s="64" t="s">
        <v>721</v>
      </c>
      <c r="M282" s="18" t="s">
        <v>3</v>
      </c>
    </row>
    <row r="283" spans="1:13" ht="14" customHeight="1" x14ac:dyDescent="0.3">
      <c r="A283" s="9">
        <v>1</v>
      </c>
      <c r="B283" s="9" t="s">
        <v>0</v>
      </c>
      <c r="C283" s="92" t="s">
        <v>718</v>
      </c>
      <c r="D283" s="64" t="s">
        <v>724</v>
      </c>
      <c r="E283" s="103" t="s">
        <v>722</v>
      </c>
      <c r="F283" s="47" t="s">
        <v>720</v>
      </c>
      <c r="G283" s="61">
        <v>745000</v>
      </c>
      <c r="H283" s="55">
        <v>440000</v>
      </c>
      <c r="I283" s="52">
        <f>Table13[[#This Row],[Publish Rate]]-Table13[[#This Row],[Offering Corporate Rate 2026]]</f>
        <v>305000</v>
      </c>
      <c r="J283" s="85" t="str">
        <f>IF(Table13[[#This Row],[Nilai Selisih]]&gt;100000,"Recommend","Revise")</f>
        <v>Recommend</v>
      </c>
      <c r="K283" s="17" t="s">
        <v>3</v>
      </c>
      <c r="L283" s="64" t="s">
        <v>723</v>
      </c>
      <c r="M283" s="18" t="s">
        <v>3</v>
      </c>
    </row>
    <row r="284" spans="1:13" ht="14" customHeight="1" x14ac:dyDescent="0.3">
      <c r="A284" s="9">
        <v>1</v>
      </c>
      <c r="B284" s="9" t="s">
        <v>0</v>
      </c>
      <c r="C284" s="92" t="s">
        <v>718</v>
      </c>
      <c r="D284" s="64" t="s">
        <v>724</v>
      </c>
      <c r="E284" s="64" t="s">
        <v>725</v>
      </c>
      <c r="F284" s="47" t="s">
        <v>720</v>
      </c>
      <c r="G284" s="61">
        <v>1300000</v>
      </c>
      <c r="H284" s="55">
        <v>680000</v>
      </c>
      <c r="I284" s="52">
        <f>Table13[[#This Row],[Publish Rate]]-Table13[[#This Row],[Offering Corporate Rate 2026]]</f>
        <v>620000</v>
      </c>
      <c r="J284" s="85" t="str">
        <f>IF(Table13[[#This Row],[Nilai Selisih]]&gt;100000,"Recommend","Revise")</f>
        <v>Recommend</v>
      </c>
      <c r="K284" s="17" t="s">
        <v>3</v>
      </c>
      <c r="L284" s="64" t="s">
        <v>726</v>
      </c>
      <c r="M284" s="18" t="s">
        <v>3</v>
      </c>
    </row>
    <row r="285" spans="1:13" ht="14" customHeight="1" x14ac:dyDescent="0.3">
      <c r="A285" s="9">
        <v>1</v>
      </c>
      <c r="B285" s="9" t="s">
        <v>0</v>
      </c>
      <c r="C285" s="92" t="s">
        <v>718</v>
      </c>
      <c r="D285" s="64" t="s">
        <v>724</v>
      </c>
      <c r="E285" s="64" t="s">
        <v>727</v>
      </c>
      <c r="F285" s="47" t="s">
        <v>720</v>
      </c>
      <c r="G285" s="61">
        <v>1200000</v>
      </c>
      <c r="H285" s="55">
        <v>520000</v>
      </c>
      <c r="I285" s="52">
        <f>Table13[[#This Row],[Publish Rate]]-Table13[[#This Row],[Offering Corporate Rate 2026]]</f>
        <v>680000</v>
      </c>
      <c r="J285" s="85" t="str">
        <f>IF(Table13[[#This Row],[Nilai Selisih]]&gt;100000,"Recommend","Revise")</f>
        <v>Recommend</v>
      </c>
      <c r="K285" s="17" t="s">
        <v>3</v>
      </c>
      <c r="L285" s="103" t="s">
        <v>728</v>
      </c>
      <c r="M285" s="18" t="s">
        <v>3</v>
      </c>
    </row>
    <row r="286" spans="1:13" ht="14" customHeight="1" x14ac:dyDescent="0.3">
      <c r="A286" s="9">
        <v>1</v>
      </c>
      <c r="B286" s="9" t="s">
        <v>0</v>
      </c>
      <c r="C286" s="92" t="s">
        <v>718</v>
      </c>
      <c r="D286" s="64" t="s">
        <v>30</v>
      </c>
      <c r="E286" s="64" t="s">
        <v>729</v>
      </c>
      <c r="F286" s="47" t="s">
        <v>720</v>
      </c>
      <c r="G286" s="61">
        <v>1350000</v>
      </c>
      <c r="H286" s="55">
        <v>690000</v>
      </c>
      <c r="I286" s="52">
        <f>Table13[[#This Row],[Publish Rate]]-Table13[[#This Row],[Offering Corporate Rate 2026]]</f>
        <v>660000</v>
      </c>
      <c r="J286" s="85" t="str">
        <f>IF(Table13[[#This Row],[Nilai Selisih]]&gt;100000,"Recommend","Revise")</f>
        <v>Recommend</v>
      </c>
      <c r="K286" s="17" t="s">
        <v>3</v>
      </c>
      <c r="L286" s="103" t="s">
        <v>730</v>
      </c>
      <c r="M286" s="18" t="s">
        <v>3</v>
      </c>
    </row>
    <row r="287" spans="1:13" ht="14" customHeight="1" x14ac:dyDescent="0.3">
      <c r="A287" s="9">
        <v>1</v>
      </c>
      <c r="B287" s="9" t="s">
        <v>0</v>
      </c>
      <c r="C287" s="92" t="s">
        <v>718</v>
      </c>
      <c r="D287" s="64" t="s">
        <v>30</v>
      </c>
      <c r="E287" s="64" t="s">
        <v>731</v>
      </c>
      <c r="F287" s="47" t="s">
        <v>720</v>
      </c>
      <c r="G287" s="61">
        <v>5000000</v>
      </c>
      <c r="H287" s="55">
        <v>1720000</v>
      </c>
      <c r="I287" s="52">
        <f>Table13[[#This Row],[Publish Rate]]-Table13[[#This Row],[Offering Corporate Rate 2026]]</f>
        <v>3280000</v>
      </c>
      <c r="J287" s="85" t="str">
        <f>IF(Table13[[#This Row],[Nilai Selisih]]&gt;100000,"Recommend","Revise")</f>
        <v>Recommend</v>
      </c>
      <c r="K287" s="17" t="s">
        <v>3</v>
      </c>
      <c r="L287" s="103" t="s">
        <v>732</v>
      </c>
      <c r="M287" s="18" t="s">
        <v>3</v>
      </c>
    </row>
    <row r="288" spans="1:13" ht="14" customHeight="1" x14ac:dyDescent="0.3">
      <c r="A288" s="9">
        <v>1</v>
      </c>
      <c r="B288" s="9" t="s">
        <v>0</v>
      </c>
      <c r="C288" s="92" t="s">
        <v>733</v>
      </c>
      <c r="D288" s="64" t="s">
        <v>1268</v>
      </c>
      <c r="E288" s="64" t="s">
        <v>734</v>
      </c>
      <c r="F288" s="47" t="s">
        <v>735</v>
      </c>
      <c r="G288" s="61">
        <v>1275945</v>
      </c>
      <c r="H288" s="58">
        <v>890000</v>
      </c>
      <c r="I288" s="52">
        <f>Table13[[#This Row],[Publish Rate]]-Table13[[#This Row],[Offering Corporate Rate 2026]]</f>
        <v>385945</v>
      </c>
      <c r="J288" s="85" t="str">
        <f>IF(Table13[[#This Row],[Nilai Selisih]]&gt;100000,"Recommend","Revise")</f>
        <v>Recommend</v>
      </c>
      <c r="K288" s="17" t="s">
        <v>3</v>
      </c>
      <c r="L288" s="64" t="s">
        <v>736</v>
      </c>
      <c r="M288" s="18" t="s">
        <v>3</v>
      </c>
    </row>
    <row r="289" spans="1:13" ht="14" customHeight="1" x14ac:dyDescent="0.3">
      <c r="A289" s="9">
        <v>1</v>
      </c>
      <c r="B289" s="9" t="s">
        <v>0</v>
      </c>
      <c r="C289" s="92" t="s">
        <v>733</v>
      </c>
      <c r="D289" s="64" t="s">
        <v>1268</v>
      </c>
      <c r="E289" s="64" t="s">
        <v>737</v>
      </c>
      <c r="F289" s="47" t="s">
        <v>735</v>
      </c>
      <c r="G289" s="61">
        <v>598500</v>
      </c>
      <c r="H289" s="55">
        <v>511250</v>
      </c>
      <c r="I289" s="52">
        <f>Table13[[#This Row],[Publish Rate]]-Table13[[#This Row],[Offering Corporate Rate 2026]]</f>
        <v>87250</v>
      </c>
      <c r="J289" s="85" t="str">
        <f>IF(Table13[[#This Row],[Nilai Selisih]]&gt;100000,"Recommend","Revise")</f>
        <v>Revise</v>
      </c>
      <c r="K289" s="17" t="s">
        <v>3</v>
      </c>
      <c r="L289" s="64" t="s">
        <v>738</v>
      </c>
      <c r="M289" s="18" t="s">
        <v>3</v>
      </c>
    </row>
    <row r="290" spans="1:13" ht="14" customHeight="1" x14ac:dyDescent="0.3">
      <c r="A290" s="9">
        <v>1</v>
      </c>
      <c r="B290" s="9" t="s">
        <v>0</v>
      </c>
      <c r="C290" s="92" t="s">
        <v>733</v>
      </c>
      <c r="D290" s="64" t="s">
        <v>1811</v>
      </c>
      <c r="E290" s="103" t="s">
        <v>739</v>
      </c>
      <c r="F290" s="47" t="s">
        <v>735</v>
      </c>
      <c r="G290" s="61">
        <v>783750</v>
      </c>
      <c r="H290" s="55">
        <v>558500</v>
      </c>
      <c r="I290" s="52">
        <f>Table13[[#This Row],[Publish Rate]]-Table13[[#This Row],[Offering Corporate Rate 2026]]</f>
        <v>225250</v>
      </c>
      <c r="J290" s="85" t="str">
        <f>IF(Table13[[#This Row],[Nilai Selisih]]&gt;100000,"Recommend","Revise")</f>
        <v>Recommend</v>
      </c>
      <c r="K290" s="17" t="s">
        <v>3</v>
      </c>
      <c r="L290" s="64" t="s">
        <v>740</v>
      </c>
      <c r="M290" s="18" t="s">
        <v>3</v>
      </c>
    </row>
    <row r="291" spans="1:13" ht="14" customHeight="1" x14ac:dyDescent="0.3">
      <c r="A291" s="9">
        <v>1</v>
      </c>
      <c r="B291" s="9" t="s">
        <v>0</v>
      </c>
      <c r="C291" s="92" t="s">
        <v>733</v>
      </c>
      <c r="D291" s="64" t="s">
        <v>1811</v>
      </c>
      <c r="E291" s="64" t="s">
        <v>741</v>
      </c>
      <c r="F291" s="47" t="s">
        <v>735</v>
      </c>
      <c r="G291" s="61">
        <v>419900</v>
      </c>
      <c r="H291" s="55">
        <v>470000</v>
      </c>
      <c r="I291" s="52">
        <f>Table13[[#This Row],[Publish Rate]]-Table13[[#This Row],[Offering Corporate Rate 2026]]</f>
        <v>-50100</v>
      </c>
      <c r="J291" s="85" t="str">
        <f>IF(Table13[[#This Row],[Nilai Selisih]]&gt;100000,"Recommend","Revise")</f>
        <v>Revise</v>
      </c>
      <c r="K291" s="17" t="s">
        <v>3</v>
      </c>
      <c r="L291" s="64" t="s">
        <v>742</v>
      </c>
      <c r="M291" s="18" t="s">
        <v>3</v>
      </c>
    </row>
    <row r="292" spans="1:13" ht="14" customHeight="1" x14ac:dyDescent="0.3">
      <c r="A292" s="9">
        <v>1</v>
      </c>
      <c r="B292" s="9" t="s">
        <v>0</v>
      </c>
      <c r="C292" s="92" t="s">
        <v>733</v>
      </c>
      <c r="D292" s="64" t="s">
        <v>743</v>
      </c>
      <c r="E292" s="64" t="s">
        <v>744</v>
      </c>
      <c r="F292" s="47" t="s">
        <v>735</v>
      </c>
      <c r="G292" s="61">
        <v>1075932</v>
      </c>
      <c r="H292" s="55">
        <v>775000</v>
      </c>
      <c r="I292" s="52">
        <f>Table13[[#This Row],[Publish Rate]]-Table13[[#This Row],[Offering Corporate Rate 2026]]</f>
        <v>300932</v>
      </c>
      <c r="J292" s="85" t="str">
        <f>IF(Table13[[#This Row],[Nilai Selisih]]&gt;100000,"Recommend","Revise")</f>
        <v>Recommend</v>
      </c>
      <c r="K292" s="17" t="s">
        <v>3</v>
      </c>
      <c r="L292" s="64" t="s">
        <v>745</v>
      </c>
      <c r="M292" s="18" t="s">
        <v>3</v>
      </c>
    </row>
    <row r="293" spans="1:13" ht="14" customHeight="1" x14ac:dyDescent="0.3">
      <c r="A293" s="9">
        <v>1</v>
      </c>
      <c r="B293" s="9" t="s">
        <v>0</v>
      </c>
      <c r="C293" s="92" t="s">
        <v>733</v>
      </c>
      <c r="D293" s="64" t="s">
        <v>743</v>
      </c>
      <c r="E293" s="64" t="s">
        <v>746</v>
      </c>
      <c r="F293" s="47" t="s">
        <v>735</v>
      </c>
      <c r="G293" s="61">
        <v>585000</v>
      </c>
      <c r="H293" s="55">
        <v>550000</v>
      </c>
      <c r="I293" s="52">
        <f>Table13[[#This Row],[Publish Rate]]-Table13[[#This Row],[Offering Corporate Rate 2026]]</f>
        <v>35000</v>
      </c>
      <c r="J293" s="85" t="str">
        <f>IF(Table13[[#This Row],[Nilai Selisih]]&gt;100000,"Recommend","Revise")</f>
        <v>Revise</v>
      </c>
      <c r="K293" s="17" t="s">
        <v>3</v>
      </c>
      <c r="L293" s="64" t="s">
        <v>747</v>
      </c>
      <c r="M293" s="18" t="s">
        <v>3</v>
      </c>
    </row>
    <row r="294" spans="1:13" ht="14" customHeight="1" x14ac:dyDescent="0.3">
      <c r="A294" s="9">
        <v>1</v>
      </c>
      <c r="B294" s="9" t="s">
        <v>0</v>
      </c>
      <c r="C294" s="92" t="s">
        <v>748</v>
      </c>
      <c r="D294" s="64" t="s">
        <v>30</v>
      </c>
      <c r="E294" s="64" t="s">
        <v>749</v>
      </c>
      <c r="F294" s="47" t="s">
        <v>750</v>
      </c>
      <c r="G294" s="61">
        <v>1400000</v>
      </c>
      <c r="H294" s="55">
        <v>1450000</v>
      </c>
      <c r="I294" s="52">
        <f>Table13[[#This Row],[Publish Rate]]-Table13[[#This Row],[Offering Corporate Rate 2026]]</f>
        <v>-50000</v>
      </c>
      <c r="J294" s="85" t="str">
        <f>IF(Table13[[#This Row],[Nilai Selisih]]&gt;100000,"Recommend","Revise")</f>
        <v>Revise</v>
      </c>
      <c r="K294" s="17" t="s">
        <v>3</v>
      </c>
      <c r="L294" s="64"/>
      <c r="M294" s="18" t="s">
        <v>3</v>
      </c>
    </row>
    <row r="295" spans="1:13" ht="14" customHeight="1" x14ac:dyDescent="0.3">
      <c r="A295" s="9">
        <v>1</v>
      </c>
      <c r="B295" s="9" t="s">
        <v>0</v>
      </c>
      <c r="C295" s="92" t="s">
        <v>748</v>
      </c>
      <c r="D295" s="64" t="s">
        <v>1269</v>
      </c>
      <c r="E295" s="64" t="s">
        <v>751</v>
      </c>
      <c r="F295" s="47" t="s">
        <v>750</v>
      </c>
      <c r="G295" s="61">
        <v>1577776</v>
      </c>
      <c r="H295" s="55">
        <v>900000</v>
      </c>
      <c r="I295" s="52">
        <f>Table13[[#This Row],[Publish Rate]]-Table13[[#This Row],[Offering Corporate Rate 2026]]</f>
        <v>677776</v>
      </c>
      <c r="J295" s="85" t="str">
        <f>IF(Table13[[#This Row],[Nilai Selisih]]&gt;100000,"Recommend","Revise")</f>
        <v>Recommend</v>
      </c>
      <c r="K295" s="17" t="s">
        <v>3</v>
      </c>
      <c r="L295" s="64"/>
      <c r="M295" s="18" t="s">
        <v>3</v>
      </c>
    </row>
    <row r="296" spans="1:13" ht="14" customHeight="1" x14ac:dyDescent="0.3">
      <c r="A296" s="9">
        <v>1</v>
      </c>
      <c r="B296" s="9" t="s">
        <v>0</v>
      </c>
      <c r="C296" s="92" t="s">
        <v>748</v>
      </c>
      <c r="D296" s="64" t="s">
        <v>724</v>
      </c>
      <c r="E296" s="64" t="s">
        <v>752</v>
      </c>
      <c r="F296" s="47" t="s">
        <v>750</v>
      </c>
      <c r="G296" s="61">
        <v>1800000</v>
      </c>
      <c r="H296" s="55">
        <v>900000</v>
      </c>
      <c r="I296" s="52">
        <f>Table13[[#This Row],[Publish Rate]]-Table13[[#This Row],[Offering Corporate Rate 2026]]</f>
        <v>900000</v>
      </c>
      <c r="J296" s="85" t="str">
        <f>IF(Table13[[#This Row],[Nilai Selisih]]&gt;100000,"Recommend","Revise")</f>
        <v>Recommend</v>
      </c>
      <c r="K296" s="17" t="s">
        <v>3</v>
      </c>
      <c r="L296" s="64"/>
      <c r="M296" s="18" t="s">
        <v>3</v>
      </c>
    </row>
    <row r="297" spans="1:13" ht="14" customHeight="1" x14ac:dyDescent="0.3">
      <c r="A297" s="9">
        <v>1</v>
      </c>
      <c r="B297" s="9" t="s">
        <v>0</v>
      </c>
      <c r="C297" s="92" t="s">
        <v>748</v>
      </c>
      <c r="D297" s="64" t="s">
        <v>724</v>
      </c>
      <c r="E297" s="64" t="s">
        <v>753</v>
      </c>
      <c r="F297" s="47" t="s">
        <v>750</v>
      </c>
      <c r="G297" s="61">
        <v>857555</v>
      </c>
      <c r="H297" s="55">
        <v>825000</v>
      </c>
      <c r="I297" s="52">
        <f>Table13[[#This Row],[Publish Rate]]-Table13[[#This Row],[Offering Corporate Rate 2026]]</f>
        <v>32555</v>
      </c>
      <c r="J297" s="85" t="str">
        <f>IF(Table13[[#This Row],[Nilai Selisih]]&gt;100000,"Recommend","Revise")</f>
        <v>Revise</v>
      </c>
      <c r="K297" s="17" t="s">
        <v>3</v>
      </c>
      <c r="L297" s="64"/>
      <c r="M297" s="18" t="s">
        <v>3</v>
      </c>
    </row>
    <row r="298" spans="1:13" ht="14" customHeight="1" x14ac:dyDescent="0.3">
      <c r="A298" s="9">
        <v>1</v>
      </c>
      <c r="B298" s="9" t="s">
        <v>0</v>
      </c>
      <c r="C298" s="92" t="s">
        <v>748</v>
      </c>
      <c r="D298" s="64" t="s">
        <v>1008</v>
      </c>
      <c r="E298" s="64" t="s">
        <v>754</v>
      </c>
      <c r="F298" s="47" t="s">
        <v>750</v>
      </c>
      <c r="G298" s="61">
        <v>825000</v>
      </c>
      <c r="H298" s="55">
        <v>700000</v>
      </c>
      <c r="I298" s="52">
        <f>Table13[[#This Row],[Publish Rate]]-Table13[[#This Row],[Offering Corporate Rate 2026]]</f>
        <v>125000</v>
      </c>
      <c r="J298" s="85" t="str">
        <f>IF(Table13[[#This Row],[Nilai Selisih]]&gt;100000,"Recommend","Revise")</f>
        <v>Recommend</v>
      </c>
      <c r="K298" s="17" t="s">
        <v>3</v>
      </c>
      <c r="L298" s="84"/>
      <c r="M298" s="18" t="s">
        <v>3</v>
      </c>
    </row>
    <row r="299" spans="1:13" ht="14" customHeight="1" x14ac:dyDescent="0.3">
      <c r="A299" s="9">
        <v>1</v>
      </c>
      <c r="B299" s="9" t="s">
        <v>0</v>
      </c>
      <c r="C299" s="92" t="s">
        <v>748</v>
      </c>
      <c r="D299" s="64" t="s">
        <v>1530</v>
      </c>
      <c r="E299" s="64" t="s">
        <v>755</v>
      </c>
      <c r="F299" s="47" t="s">
        <v>750</v>
      </c>
      <c r="G299" s="61">
        <v>620000</v>
      </c>
      <c r="H299" s="55">
        <v>800000</v>
      </c>
      <c r="I299" s="52">
        <f>Table13[[#This Row],[Publish Rate]]-Table13[[#This Row],[Offering Corporate Rate 2026]]</f>
        <v>-180000</v>
      </c>
      <c r="J299" s="85" t="str">
        <f>IF(Table13[[#This Row],[Nilai Selisih]]&gt;100000,"Recommend","Revise")</f>
        <v>Revise</v>
      </c>
      <c r="K299" s="17" t="s">
        <v>3</v>
      </c>
      <c r="L299" s="64"/>
      <c r="M299" s="18" t="s">
        <v>3</v>
      </c>
    </row>
    <row r="300" spans="1:13" ht="14" customHeight="1" x14ac:dyDescent="0.3">
      <c r="A300" s="9">
        <v>1</v>
      </c>
      <c r="B300" s="9" t="s">
        <v>0</v>
      </c>
      <c r="C300" s="92" t="s">
        <v>748</v>
      </c>
      <c r="D300" s="64" t="s">
        <v>1811</v>
      </c>
      <c r="E300" s="64" t="s">
        <v>756</v>
      </c>
      <c r="F300" s="47" t="s">
        <v>750</v>
      </c>
      <c r="G300" s="61">
        <v>600000</v>
      </c>
      <c r="H300" s="55">
        <v>800000</v>
      </c>
      <c r="I300" s="52">
        <f>Table13[[#This Row],[Publish Rate]]-Table13[[#This Row],[Offering Corporate Rate 2026]]</f>
        <v>-200000</v>
      </c>
      <c r="J300" s="85" t="str">
        <f>IF(Table13[[#This Row],[Nilai Selisih]]&gt;100000,"Recommend","Revise")</f>
        <v>Revise</v>
      </c>
      <c r="K300" s="17" t="s">
        <v>3</v>
      </c>
      <c r="L300" s="12"/>
      <c r="M300" s="18" t="s">
        <v>3</v>
      </c>
    </row>
    <row r="301" spans="1:13" ht="14" customHeight="1" x14ac:dyDescent="0.3">
      <c r="A301" s="9">
        <v>1</v>
      </c>
      <c r="B301" s="9" t="s">
        <v>0</v>
      </c>
      <c r="C301" s="92" t="s">
        <v>757</v>
      </c>
      <c r="D301" s="64" t="s">
        <v>30</v>
      </c>
      <c r="E301" s="64" t="s">
        <v>758</v>
      </c>
      <c r="F301" s="47" t="s">
        <v>759</v>
      </c>
      <c r="G301" s="61">
        <v>1550000</v>
      </c>
      <c r="H301" s="55">
        <v>1200000</v>
      </c>
      <c r="I301" s="52">
        <f>Table13[[#This Row],[Publish Rate]]-Table13[[#This Row],[Offering Corporate Rate 2026]]</f>
        <v>350000</v>
      </c>
      <c r="J301" s="85" t="str">
        <f>IF(Table13[[#This Row],[Nilai Selisih]]&gt;100000,"Recommend","Revise")</f>
        <v>Recommend</v>
      </c>
      <c r="K301" s="17" t="s">
        <v>3</v>
      </c>
      <c r="L301" s="64" t="s">
        <v>760</v>
      </c>
      <c r="M301" s="18" t="s">
        <v>3</v>
      </c>
    </row>
    <row r="302" spans="1:13" ht="14" customHeight="1" x14ac:dyDescent="0.3">
      <c r="A302" s="9">
        <v>1</v>
      </c>
      <c r="B302" s="9" t="s">
        <v>0</v>
      </c>
      <c r="C302" s="92" t="s">
        <v>757</v>
      </c>
      <c r="D302" s="64" t="s">
        <v>30</v>
      </c>
      <c r="E302" s="64" t="s">
        <v>761</v>
      </c>
      <c r="F302" s="1" t="s">
        <v>762</v>
      </c>
      <c r="G302" s="61">
        <v>1800000</v>
      </c>
      <c r="H302" s="55">
        <v>1480000</v>
      </c>
      <c r="I302" s="52">
        <f>Table13[[#This Row],[Publish Rate]]-Table13[[#This Row],[Offering Corporate Rate 2026]]</f>
        <v>320000</v>
      </c>
      <c r="J302" s="85" t="str">
        <f>IF(Table13[[#This Row],[Nilai Selisih]]&gt;100000,"Recommend","Revise")</f>
        <v>Recommend</v>
      </c>
      <c r="K302" s="17" t="s">
        <v>3</v>
      </c>
      <c r="L302" s="64" t="s">
        <v>763</v>
      </c>
      <c r="M302" s="18" t="s">
        <v>3</v>
      </c>
    </row>
    <row r="303" spans="1:13" ht="14" customHeight="1" x14ac:dyDescent="0.3">
      <c r="A303" s="9">
        <v>1</v>
      </c>
      <c r="B303" s="9" t="s">
        <v>0</v>
      </c>
      <c r="C303" s="92" t="s">
        <v>757</v>
      </c>
      <c r="D303" s="64" t="s">
        <v>30</v>
      </c>
      <c r="E303" s="64" t="s">
        <v>764</v>
      </c>
      <c r="F303" s="1" t="s">
        <v>765</v>
      </c>
      <c r="G303" s="61">
        <v>1200000</v>
      </c>
      <c r="H303" s="55">
        <v>800000</v>
      </c>
      <c r="I303" s="52">
        <f>Table13[[#This Row],[Publish Rate]]-Table13[[#This Row],[Offering Corporate Rate 2026]]</f>
        <v>400000</v>
      </c>
      <c r="J303" s="85" t="str">
        <f>IF(Table13[[#This Row],[Nilai Selisih]]&gt;100000,"Recommend","Revise")</f>
        <v>Recommend</v>
      </c>
      <c r="K303" s="17" t="s">
        <v>3</v>
      </c>
      <c r="L303" s="64" t="s">
        <v>763</v>
      </c>
      <c r="M303" s="18" t="s">
        <v>3</v>
      </c>
    </row>
    <row r="304" spans="1:13" ht="14" customHeight="1" x14ac:dyDescent="0.3">
      <c r="A304" s="9">
        <v>1</v>
      </c>
      <c r="B304" s="9" t="s">
        <v>0</v>
      </c>
      <c r="C304" s="92" t="s">
        <v>757</v>
      </c>
      <c r="D304" s="84" t="s">
        <v>1268</v>
      </c>
      <c r="E304" s="64" t="s">
        <v>766</v>
      </c>
      <c r="F304" s="47" t="s">
        <v>767</v>
      </c>
      <c r="G304" s="61">
        <v>1000000</v>
      </c>
      <c r="H304" s="55">
        <v>800000</v>
      </c>
      <c r="I304" s="52">
        <f>Table13[[#This Row],[Publish Rate]]-Table13[[#This Row],[Offering Corporate Rate 2026]]</f>
        <v>200000</v>
      </c>
      <c r="J304" s="85" t="str">
        <f>IF(Table13[[#This Row],[Nilai Selisih]]&gt;100000,"Recommend","Revise")</f>
        <v>Recommend</v>
      </c>
      <c r="K304" s="17" t="s">
        <v>3</v>
      </c>
      <c r="L304" s="64" t="s">
        <v>763</v>
      </c>
      <c r="M304" s="18" t="s">
        <v>3</v>
      </c>
    </row>
    <row r="305" spans="1:13" ht="14" customHeight="1" x14ac:dyDescent="0.3">
      <c r="A305" s="9">
        <v>1</v>
      </c>
      <c r="B305" s="9" t="s">
        <v>0</v>
      </c>
      <c r="C305" s="92" t="s">
        <v>757</v>
      </c>
      <c r="D305" s="84" t="s">
        <v>1811</v>
      </c>
      <c r="E305" s="12" t="s">
        <v>768</v>
      </c>
      <c r="F305" s="47" t="s">
        <v>769</v>
      </c>
      <c r="G305" s="61">
        <v>1300000</v>
      </c>
      <c r="H305" s="55">
        <v>1000000</v>
      </c>
      <c r="I305" s="52">
        <f>Table13[[#This Row],[Publish Rate]]-Table13[[#This Row],[Offering Corporate Rate 2026]]</f>
        <v>300000</v>
      </c>
      <c r="J305" s="85" t="str">
        <f>IF(Table13[[#This Row],[Nilai Selisih]]&gt;100000,"Recommend","Revise")</f>
        <v>Recommend</v>
      </c>
      <c r="K305" s="17" t="s">
        <v>3</v>
      </c>
      <c r="L305" s="84" t="s">
        <v>770</v>
      </c>
      <c r="M305" s="18" t="s">
        <v>3</v>
      </c>
    </row>
    <row r="306" spans="1:13" ht="14" customHeight="1" x14ac:dyDescent="0.3">
      <c r="A306" s="9">
        <v>1</v>
      </c>
      <c r="B306" s="9" t="s">
        <v>0</v>
      </c>
      <c r="C306" s="92" t="s">
        <v>757</v>
      </c>
      <c r="D306" s="64" t="s">
        <v>724</v>
      </c>
      <c r="E306" s="18" t="s">
        <v>771</v>
      </c>
      <c r="F306" s="104" t="s">
        <v>772</v>
      </c>
      <c r="G306" s="61">
        <v>1100000</v>
      </c>
      <c r="H306" s="55">
        <v>1000000</v>
      </c>
      <c r="I306" s="55">
        <f>Table13[[#This Row],[Publish Rate]]-Table13[[#This Row],[Offering Corporate Rate 2026]]</f>
        <v>100000</v>
      </c>
      <c r="J306" s="105" t="str">
        <f>IF(Table13[[#This Row],[Nilai Selisih]]&gt;100000,"Recommend","Revise")</f>
        <v>Revise</v>
      </c>
      <c r="K306" s="17" t="s">
        <v>3</v>
      </c>
      <c r="L306" s="64" t="s">
        <v>773</v>
      </c>
      <c r="M306" s="18" t="s">
        <v>3</v>
      </c>
    </row>
    <row r="307" spans="1:13" ht="14" customHeight="1" x14ac:dyDescent="0.3">
      <c r="A307" s="9">
        <v>1</v>
      </c>
      <c r="B307" s="9" t="s">
        <v>0</v>
      </c>
      <c r="C307" s="30" t="s">
        <v>757</v>
      </c>
      <c r="D307" s="79" t="s">
        <v>724</v>
      </c>
      <c r="E307" s="10" t="s">
        <v>774</v>
      </c>
      <c r="F307" s="47" t="s">
        <v>775</v>
      </c>
      <c r="G307" s="61">
        <v>1290000</v>
      </c>
      <c r="H307" s="16">
        <v>1040000</v>
      </c>
      <c r="I307" s="16">
        <f>Table13[[#This Row],[Publish Rate]]-Table13[[#This Row],[Offering Corporate Rate 2026]]</f>
        <v>250000</v>
      </c>
      <c r="J307" s="105" t="str">
        <f>IF(Table13[[#This Row],[Nilai Selisih]]&gt;100000,"Recommend","Revise")</f>
        <v>Recommend</v>
      </c>
      <c r="K307" s="17" t="s">
        <v>3</v>
      </c>
      <c r="L307" s="79" t="s">
        <v>773</v>
      </c>
      <c r="M307" s="18" t="s">
        <v>3</v>
      </c>
    </row>
    <row r="308" spans="1:13" ht="14" customHeight="1" x14ac:dyDescent="0.3">
      <c r="A308" s="9">
        <v>1</v>
      </c>
      <c r="B308" s="9" t="s">
        <v>0</v>
      </c>
      <c r="C308" s="30" t="s">
        <v>757</v>
      </c>
      <c r="D308" s="10" t="s">
        <v>1808</v>
      </c>
      <c r="E308" s="10" t="s">
        <v>776</v>
      </c>
      <c r="F308" s="47" t="s">
        <v>777</v>
      </c>
      <c r="G308" s="61">
        <v>1210000</v>
      </c>
      <c r="H308" s="16">
        <v>858000</v>
      </c>
      <c r="I308" s="16">
        <f>Table13[[#This Row],[Publish Rate]]-Table13[[#This Row],[Offering Corporate Rate 2026]]</f>
        <v>352000</v>
      </c>
      <c r="J308" s="105" t="str">
        <f>IF(Table13[[#This Row],[Nilai Selisih]]&gt;100000,"Recommend","Revise")</f>
        <v>Recommend</v>
      </c>
      <c r="K308" s="17" t="s">
        <v>3</v>
      </c>
      <c r="L308" s="10" t="s">
        <v>778</v>
      </c>
      <c r="M308" s="18" t="s">
        <v>3</v>
      </c>
    </row>
    <row r="309" spans="1:13" ht="14" customHeight="1" x14ac:dyDescent="0.3">
      <c r="A309" s="9">
        <v>1</v>
      </c>
      <c r="B309" s="9" t="s">
        <v>0</v>
      </c>
      <c r="C309" s="30" t="s">
        <v>757</v>
      </c>
      <c r="D309" s="10" t="s">
        <v>1008</v>
      </c>
      <c r="E309" s="10" t="s">
        <v>779</v>
      </c>
      <c r="F309" s="47" t="s">
        <v>780</v>
      </c>
      <c r="G309" s="61">
        <v>1100000</v>
      </c>
      <c r="H309" s="16">
        <v>1000000</v>
      </c>
      <c r="I309" s="16">
        <f>Table13[[#This Row],[Publish Rate]]-Table13[[#This Row],[Offering Corporate Rate 2026]]</f>
        <v>100000</v>
      </c>
      <c r="J309" s="105" t="str">
        <f>IF(Table13[[#This Row],[Nilai Selisih]]&gt;100000,"Recommend","Revise")</f>
        <v>Revise</v>
      </c>
      <c r="K309" s="17" t="s">
        <v>3</v>
      </c>
      <c r="L309" s="10" t="s">
        <v>773</v>
      </c>
      <c r="M309" s="18" t="s">
        <v>3</v>
      </c>
    </row>
    <row r="310" spans="1:13" ht="14" customHeight="1" x14ac:dyDescent="0.3">
      <c r="A310" s="9">
        <v>1</v>
      </c>
      <c r="B310" s="9" t="s">
        <v>0</v>
      </c>
      <c r="C310" s="30" t="s">
        <v>757</v>
      </c>
      <c r="D310" s="10" t="s">
        <v>1812</v>
      </c>
      <c r="E310" s="10" t="s">
        <v>781</v>
      </c>
      <c r="F310" s="47" t="s">
        <v>782</v>
      </c>
      <c r="G310" s="61">
        <v>800000</v>
      </c>
      <c r="H310" s="16">
        <v>650000</v>
      </c>
      <c r="I310" s="16">
        <f>Table13[[#This Row],[Publish Rate]]-Table13[[#This Row],[Offering Corporate Rate 2026]]</f>
        <v>150000</v>
      </c>
      <c r="J310" s="105" t="str">
        <f>IF(Table13[[#This Row],[Nilai Selisih]]&gt;100000,"Recommend","Revise")</f>
        <v>Recommend</v>
      </c>
      <c r="K310" s="17" t="s">
        <v>3</v>
      </c>
      <c r="L310" s="10" t="s">
        <v>783</v>
      </c>
      <c r="M310" s="18" t="s">
        <v>3</v>
      </c>
    </row>
    <row r="311" spans="1:13" ht="14" customHeight="1" x14ac:dyDescent="0.3">
      <c r="A311" s="9">
        <v>1</v>
      </c>
      <c r="B311" s="9" t="s">
        <v>0</v>
      </c>
      <c r="C311" s="30" t="s">
        <v>757</v>
      </c>
      <c r="D311" s="10" t="s">
        <v>1811</v>
      </c>
      <c r="E311" s="10" t="s">
        <v>784</v>
      </c>
      <c r="F311" s="47" t="s">
        <v>785</v>
      </c>
      <c r="G311" s="61">
        <v>1000000</v>
      </c>
      <c r="H311" s="16">
        <v>790000</v>
      </c>
      <c r="I311" s="16">
        <f>Table13[[#This Row],[Publish Rate]]-Table13[[#This Row],[Offering Corporate Rate 2026]]</f>
        <v>210000</v>
      </c>
      <c r="J311" s="105" t="str">
        <f>IF(Table13[[#This Row],[Nilai Selisih]]&gt;100000,"Recommend","Revise")</f>
        <v>Recommend</v>
      </c>
      <c r="K311" s="17" t="s">
        <v>3</v>
      </c>
      <c r="L311" s="10" t="s">
        <v>786</v>
      </c>
      <c r="M311" s="18" t="s">
        <v>3</v>
      </c>
    </row>
    <row r="312" spans="1:13" ht="14" customHeight="1" x14ac:dyDescent="0.3">
      <c r="A312" s="9">
        <v>1</v>
      </c>
      <c r="B312" s="9" t="s">
        <v>0</v>
      </c>
      <c r="C312" s="30" t="s">
        <v>757</v>
      </c>
      <c r="D312" s="10" t="s">
        <v>1811</v>
      </c>
      <c r="E312" s="66" t="s">
        <v>787</v>
      </c>
      <c r="F312" s="47" t="s">
        <v>788</v>
      </c>
      <c r="G312" s="61">
        <v>600000</v>
      </c>
      <c r="H312" s="16">
        <v>560000</v>
      </c>
      <c r="I312" s="16">
        <f>Table13[[#This Row],[Publish Rate]]-Table13[[#This Row],[Offering Corporate Rate 2026]]</f>
        <v>40000</v>
      </c>
      <c r="J312" s="105" t="str">
        <f>IF(Table13[[#This Row],[Nilai Selisih]]&gt;100000,"Recommend","Revise")</f>
        <v>Revise</v>
      </c>
      <c r="K312" s="17" t="s">
        <v>3</v>
      </c>
      <c r="L312" s="10" t="s">
        <v>789</v>
      </c>
      <c r="M312" s="18" t="s">
        <v>3</v>
      </c>
    </row>
    <row r="313" spans="1:13" ht="14" customHeight="1" x14ac:dyDescent="0.3">
      <c r="A313" s="9">
        <v>1</v>
      </c>
      <c r="B313" s="9" t="s">
        <v>0</v>
      </c>
      <c r="C313" s="30" t="s">
        <v>757</v>
      </c>
      <c r="D313" s="10" t="s">
        <v>1808</v>
      </c>
      <c r="E313" s="10" t="s">
        <v>790</v>
      </c>
      <c r="F313" s="47" t="s">
        <v>791</v>
      </c>
      <c r="G313" s="61">
        <v>650000</v>
      </c>
      <c r="H313" s="16">
        <v>530000</v>
      </c>
      <c r="I313" s="16">
        <f>Table13[[#This Row],[Publish Rate]]-Table13[[#This Row],[Offering Corporate Rate 2026]]</f>
        <v>120000</v>
      </c>
      <c r="J313" s="105" t="str">
        <f>IF(Table13[[#This Row],[Nilai Selisih]]&gt;100000,"Recommend","Revise")</f>
        <v>Recommend</v>
      </c>
      <c r="K313" s="17" t="s">
        <v>3</v>
      </c>
      <c r="L313" s="10" t="s">
        <v>792</v>
      </c>
      <c r="M313" s="18" t="s">
        <v>3</v>
      </c>
    </row>
    <row r="314" spans="1:13" ht="14" customHeight="1" x14ac:dyDescent="0.3">
      <c r="A314" s="9">
        <v>1</v>
      </c>
      <c r="B314" s="9" t="s">
        <v>0</v>
      </c>
      <c r="C314" s="30" t="s">
        <v>757</v>
      </c>
      <c r="D314" s="10" t="s">
        <v>1808</v>
      </c>
      <c r="E314" s="66" t="s">
        <v>793</v>
      </c>
      <c r="F314" s="1" t="s">
        <v>794</v>
      </c>
      <c r="G314" s="61">
        <v>700000</v>
      </c>
      <c r="H314" s="16">
        <v>570000</v>
      </c>
      <c r="I314" s="16">
        <f>Table13[[#This Row],[Publish Rate]]-Table13[[#This Row],[Offering Corporate Rate 2026]]</f>
        <v>130000</v>
      </c>
      <c r="J314" s="105" t="str">
        <f>IF(Table13[[#This Row],[Nilai Selisih]]&gt;100000,"Recommend","Revise")</f>
        <v>Recommend</v>
      </c>
      <c r="K314" s="17" t="s">
        <v>3</v>
      </c>
      <c r="L314" s="10" t="s">
        <v>795</v>
      </c>
      <c r="M314" s="18" t="s">
        <v>3</v>
      </c>
    </row>
    <row r="315" spans="1:13" ht="14" customHeight="1" x14ac:dyDescent="0.3">
      <c r="A315" s="9">
        <v>1</v>
      </c>
      <c r="B315" s="9" t="s">
        <v>0</v>
      </c>
      <c r="C315" s="30" t="s">
        <v>757</v>
      </c>
      <c r="D315" s="10" t="s">
        <v>1808</v>
      </c>
      <c r="E315" s="10" t="s">
        <v>796</v>
      </c>
      <c r="F315" s="47" t="s">
        <v>797</v>
      </c>
      <c r="G315" s="61">
        <v>500000</v>
      </c>
      <c r="H315" s="16">
        <v>450000</v>
      </c>
      <c r="I315" s="16">
        <f>Table13[[#This Row],[Publish Rate]]-Table13[[#This Row],[Offering Corporate Rate 2026]]</f>
        <v>50000</v>
      </c>
      <c r="J315" s="105" t="str">
        <f>IF(Table13[[#This Row],[Nilai Selisih]]&gt;100000,"Recommend","Revise")</f>
        <v>Revise</v>
      </c>
      <c r="K315" s="17" t="s">
        <v>3</v>
      </c>
      <c r="L315" s="10" t="s">
        <v>798</v>
      </c>
      <c r="M315" s="18" t="s">
        <v>3</v>
      </c>
    </row>
    <row r="316" spans="1:13" ht="14" customHeight="1" x14ac:dyDescent="0.3">
      <c r="A316" s="9">
        <v>1</v>
      </c>
      <c r="B316" s="9" t="s">
        <v>0</v>
      </c>
      <c r="C316" s="30" t="s">
        <v>757</v>
      </c>
      <c r="D316" s="10" t="s">
        <v>1814</v>
      </c>
      <c r="E316" s="10" t="s">
        <v>799</v>
      </c>
      <c r="F316" s="47" t="s">
        <v>800</v>
      </c>
      <c r="G316" s="61">
        <v>1200000</v>
      </c>
      <c r="H316" s="16">
        <v>650000</v>
      </c>
      <c r="I316" s="16">
        <f>Table13[[#This Row],[Publish Rate]]-Table13[[#This Row],[Offering Corporate Rate 2026]]</f>
        <v>550000</v>
      </c>
      <c r="J316" s="105" t="str">
        <f>IF(Table13[[#This Row],[Nilai Selisih]]&gt;100000,"Recommend","Revise")</f>
        <v>Recommend</v>
      </c>
      <c r="K316" s="17" t="s">
        <v>3</v>
      </c>
      <c r="L316" s="10" t="s">
        <v>801</v>
      </c>
      <c r="M316" s="18" t="s">
        <v>3</v>
      </c>
    </row>
    <row r="317" spans="1:13" ht="14" customHeight="1" x14ac:dyDescent="0.3">
      <c r="A317" s="9">
        <v>1</v>
      </c>
      <c r="B317" s="9" t="s">
        <v>0</v>
      </c>
      <c r="C317" s="30" t="s">
        <v>757</v>
      </c>
      <c r="D317" s="10" t="s">
        <v>30</v>
      </c>
      <c r="E317" s="10" t="s">
        <v>802</v>
      </c>
      <c r="F317" s="47" t="s">
        <v>803</v>
      </c>
      <c r="G317" s="61">
        <v>830000</v>
      </c>
      <c r="H317" s="16">
        <v>565000</v>
      </c>
      <c r="I317" s="16">
        <f>Table13[[#This Row],[Publish Rate]]-Table13[[#This Row],[Offering Corporate Rate 2026]]</f>
        <v>265000</v>
      </c>
      <c r="J317" s="105" t="str">
        <f>IF(Table13[[#This Row],[Nilai Selisih]]&gt;100000,"Recommend","Revise")</f>
        <v>Recommend</v>
      </c>
      <c r="K317" s="17" t="s">
        <v>3</v>
      </c>
      <c r="L317" s="10" t="s">
        <v>804</v>
      </c>
      <c r="M317" s="18" t="s">
        <v>3</v>
      </c>
    </row>
    <row r="318" spans="1:13" ht="14" customHeight="1" x14ac:dyDescent="0.3">
      <c r="A318" s="9">
        <v>1</v>
      </c>
      <c r="B318" s="9" t="s">
        <v>0</v>
      </c>
      <c r="C318" s="30" t="s">
        <v>805</v>
      </c>
      <c r="D318" s="10" t="s">
        <v>1268</v>
      </c>
      <c r="E318" s="10" t="s">
        <v>806</v>
      </c>
      <c r="F318" s="47" t="s">
        <v>807</v>
      </c>
      <c r="G318" s="61">
        <v>826200</v>
      </c>
      <c r="H318" s="16">
        <v>670000</v>
      </c>
      <c r="I318" s="16">
        <f>Table13[[#This Row],[Publish Rate]]-Table13[[#This Row],[Offering Corporate Rate 2026]]</f>
        <v>156200</v>
      </c>
      <c r="J318" s="105" t="str">
        <f>IF(Table13[[#This Row],[Nilai Selisih]]&gt;100000,"Recommend","Revise")</f>
        <v>Recommend</v>
      </c>
      <c r="K318" s="17" t="s">
        <v>3</v>
      </c>
      <c r="L318" s="10" t="s">
        <v>808</v>
      </c>
      <c r="M318" s="18" t="s">
        <v>3</v>
      </c>
    </row>
    <row r="319" spans="1:13" ht="14" customHeight="1" x14ac:dyDescent="0.3">
      <c r="A319" s="9">
        <v>1</v>
      </c>
      <c r="B319" s="9" t="s">
        <v>0</v>
      </c>
      <c r="C319" s="30" t="s">
        <v>805</v>
      </c>
      <c r="D319" s="10" t="s">
        <v>1268</v>
      </c>
      <c r="E319" s="10" t="s">
        <v>809</v>
      </c>
      <c r="F319" s="1" t="s">
        <v>810</v>
      </c>
      <c r="G319" s="61">
        <v>1179875</v>
      </c>
      <c r="H319" s="16">
        <v>715000</v>
      </c>
      <c r="I319" s="16">
        <f>Table13[[#This Row],[Publish Rate]]-Table13[[#This Row],[Offering Corporate Rate 2026]]</f>
        <v>464875</v>
      </c>
      <c r="J319" s="105" t="str">
        <f>IF(Table13[[#This Row],[Nilai Selisih]]&gt;100000,"Recommend","Revise")</f>
        <v>Recommend</v>
      </c>
      <c r="K319" s="17" t="s">
        <v>3</v>
      </c>
      <c r="L319" s="10" t="s">
        <v>811</v>
      </c>
      <c r="M319" s="18" t="s">
        <v>3</v>
      </c>
    </row>
    <row r="320" spans="1:13" ht="14" customHeight="1" x14ac:dyDescent="0.3">
      <c r="A320" s="9">
        <v>1</v>
      </c>
      <c r="B320" s="9" t="s">
        <v>0</v>
      </c>
      <c r="C320" s="30" t="s">
        <v>805</v>
      </c>
      <c r="D320" s="10" t="s">
        <v>1268</v>
      </c>
      <c r="E320" s="10" t="s">
        <v>812</v>
      </c>
      <c r="F320" s="1" t="s">
        <v>813</v>
      </c>
      <c r="G320" s="61">
        <v>670700</v>
      </c>
      <c r="H320" s="16">
        <v>590000</v>
      </c>
      <c r="I320" s="16">
        <f>Table13[[#This Row],[Publish Rate]]-Table13[[#This Row],[Offering Corporate Rate 2026]]</f>
        <v>80700</v>
      </c>
      <c r="J320" s="105" t="str">
        <f>IF(Table13[[#This Row],[Nilai Selisih]]&gt;100000,"Recommend","Revise")</f>
        <v>Revise</v>
      </c>
      <c r="K320" s="17" t="s">
        <v>3</v>
      </c>
      <c r="L320" s="10" t="s">
        <v>814</v>
      </c>
      <c r="M320" s="18" t="s">
        <v>3</v>
      </c>
    </row>
    <row r="321" spans="1:13" ht="14" customHeight="1" x14ac:dyDescent="0.3">
      <c r="A321" s="9">
        <v>1</v>
      </c>
      <c r="B321" s="9" t="s">
        <v>0</v>
      </c>
      <c r="C321" s="30" t="s">
        <v>805</v>
      </c>
      <c r="D321" s="10" t="s">
        <v>1268</v>
      </c>
      <c r="E321" s="10" t="s">
        <v>815</v>
      </c>
      <c r="F321" s="5" t="s">
        <v>816</v>
      </c>
      <c r="G321" s="61">
        <v>690000</v>
      </c>
      <c r="H321" s="16">
        <v>535000</v>
      </c>
      <c r="I321" s="16">
        <f>Table13[[#This Row],[Publish Rate]]-Table13[[#This Row],[Offering Corporate Rate 2026]]</f>
        <v>155000</v>
      </c>
      <c r="J321" s="105" t="str">
        <f>IF(Table13[[#This Row],[Nilai Selisih]]&gt;100000,"Recommend","Revise")</f>
        <v>Recommend</v>
      </c>
      <c r="K321" s="17" t="s">
        <v>3</v>
      </c>
      <c r="L321" s="10" t="s">
        <v>814</v>
      </c>
      <c r="M321" s="18" t="s">
        <v>3</v>
      </c>
    </row>
    <row r="322" spans="1:13" ht="14" customHeight="1" x14ac:dyDescent="0.3">
      <c r="A322" s="9">
        <v>1</v>
      </c>
      <c r="B322" s="9" t="s">
        <v>0</v>
      </c>
      <c r="C322" s="10" t="s">
        <v>805</v>
      </c>
      <c r="D322" s="10" t="s">
        <v>1268</v>
      </c>
      <c r="E322" s="18" t="s">
        <v>817</v>
      </c>
      <c r="F322" s="104" t="s">
        <v>818</v>
      </c>
      <c r="G322" s="61">
        <v>850000</v>
      </c>
      <c r="H322" s="16">
        <v>600000</v>
      </c>
      <c r="I322" s="16">
        <f>Table13[[#This Row],[Publish Rate]]-Table13[[#This Row],[Offering Corporate Rate 2026]]</f>
        <v>250000</v>
      </c>
      <c r="J322" s="105" t="str">
        <f>IF(Table13[[#This Row],[Nilai Selisih]]&gt;100000,"Recommend","Revise")</f>
        <v>Recommend</v>
      </c>
      <c r="K322" s="17" t="s">
        <v>3</v>
      </c>
      <c r="L322" s="18" t="s">
        <v>814</v>
      </c>
      <c r="M322" s="18" t="s">
        <v>3</v>
      </c>
    </row>
    <row r="323" spans="1:13" ht="14" customHeight="1" x14ac:dyDescent="0.3">
      <c r="A323" s="9">
        <v>1</v>
      </c>
      <c r="B323" s="9" t="s">
        <v>0</v>
      </c>
      <c r="C323" s="10" t="s">
        <v>805</v>
      </c>
      <c r="D323" s="10" t="s">
        <v>1268</v>
      </c>
      <c r="E323" s="18" t="s">
        <v>819</v>
      </c>
      <c r="F323" s="1" t="s">
        <v>820</v>
      </c>
      <c r="G323" s="61">
        <v>760274</v>
      </c>
      <c r="H323" s="16">
        <v>465000</v>
      </c>
      <c r="I323" s="16">
        <f>Table13[[#This Row],[Publish Rate]]-Table13[[#This Row],[Offering Corporate Rate 2026]]</f>
        <v>295274</v>
      </c>
      <c r="J323" s="105" t="str">
        <f>IF(Table13[[#This Row],[Nilai Selisih]]&gt;100000,"Recommend","Revise")</f>
        <v>Recommend</v>
      </c>
      <c r="K323" s="17" t="s">
        <v>3</v>
      </c>
      <c r="L323" s="10" t="s">
        <v>811</v>
      </c>
      <c r="M323" s="18" t="s">
        <v>3</v>
      </c>
    </row>
    <row r="324" spans="1:13" ht="14" customHeight="1" x14ac:dyDescent="0.3">
      <c r="A324" s="9">
        <v>1</v>
      </c>
      <c r="B324" s="9" t="s">
        <v>0</v>
      </c>
      <c r="C324" s="10" t="s">
        <v>805</v>
      </c>
      <c r="D324" s="10" t="s">
        <v>1268</v>
      </c>
      <c r="E324" s="18" t="s">
        <v>821</v>
      </c>
      <c r="F324" s="47" t="s">
        <v>822</v>
      </c>
      <c r="G324" s="61">
        <v>655500</v>
      </c>
      <c r="H324" s="16">
        <v>550000</v>
      </c>
      <c r="I324" s="16">
        <f>Table13[[#This Row],[Publish Rate]]-Table13[[#This Row],[Offering Corporate Rate 2026]]</f>
        <v>105500</v>
      </c>
      <c r="J324" s="105" t="str">
        <f>IF(Table13[[#This Row],[Nilai Selisih]]&gt;100000,"Recommend","Revise")</f>
        <v>Recommend</v>
      </c>
      <c r="K324" s="17" t="s">
        <v>3</v>
      </c>
      <c r="L324" s="10" t="s">
        <v>823</v>
      </c>
      <c r="M324" s="18" t="s">
        <v>3</v>
      </c>
    </row>
    <row r="325" spans="1:13" ht="14" customHeight="1" x14ac:dyDescent="0.3">
      <c r="A325" s="9">
        <v>1</v>
      </c>
      <c r="B325" s="9" t="s">
        <v>0</v>
      </c>
      <c r="C325" s="10" t="s">
        <v>805</v>
      </c>
      <c r="D325" s="10" t="s">
        <v>1268</v>
      </c>
      <c r="E325" s="18" t="s">
        <v>824</v>
      </c>
      <c r="F325" s="104" t="s">
        <v>825</v>
      </c>
      <c r="G325" s="61">
        <v>449999</v>
      </c>
      <c r="H325" s="16">
        <v>330000</v>
      </c>
      <c r="I325" s="16">
        <f>Table13[[#This Row],[Publish Rate]]-Table13[[#This Row],[Offering Corporate Rate 2026]]</f>
        <v>119999</v>
      </c>
      <c r="J325" s="105" t="str">
        <f>IF(Table13[[#This Row],[Nilai Selisih]]&gt;100000,"Recommend","Revise")</f>
        <v>Recommend</v>
      </c>
      <c r="K325" s="17" t="s">
        <v>3</v>
      </c>
      <c r="L325" s="10" t="s">
        <v>826</v>
      </c>
      <c r="M325" s="18" t="s">
        <v>3</v>
      </c>
    </row>
    <row r="326" spans="1:13" ht="14" customHeight="1" x14ac:dyDescent="0.3">
      <c r="A326" s="9">
        <v>1</v>
      </c>
      <c r="B326" s="9" t="s">
        <v>0</v>
      </c>
      <c r="C326" s="10" t="s">
        <v>805</v>
      </c>
      <c r="D326" s="10" t="s">
        <v>1268</v>
      </c>
      <c r="E326" s="18" t="s">
        <v>827</v>
      </c>
      <c r="F326" s="104" t="s">
        <v>828</v>
      </c>
      <c r="G326" s="61">
        <v>430000</v>
      </c>
      <c r="H326" s="16">
        <v>330000</v>
      </c>
      <c r="I326" s="16">
        <f>Table13[[#This Row],[Publish Rate]]-Table13[[#This Row],[Offering Corporate Rate 2026]]</f>
        <v>100000</v>
      </c>
      <c r="J326" s="105" t="str">
        <f>IF(Table13[[#This Row],[Nilai Selisih]]&gt;100000,"Recommend","Revise")</f>
        <v>Revise</v>
      </c>
      <c r="K326" s="17" t="s">
        <v>3</v>
      </c>
      <c r="L326" s="18" t="s">
        <v>829</v>
      </c>
      <c r="M326" s="18" t="s">
        <v>3</v>
      </c>
    </row>
    <row r="327" spans="1:13" ht="14" customHeight="1" x14ac:dyDescent="0.3">
      <c r="A327" s="9">
        <v>1</v>
      </c>
      <c r="B327" s="9" t="s">
        <v>0</v>
      </c>
      <c r="C327" s="10" t="s">
        <v>805</v>
      </c>
      <c r="D327" s="10" t="s">
        <v>1268</v>
      </c>
      <c r="E327" s="18" t="s">
        <v>830</v>
      </c>
      <c r="F327" s="104" t="s">
        <v>831</v>
      </c>
      <c r="G327" s="61">
        <v>357500</v>
      </c>
      <c r="H327" s="16">
        <v>305000</v>
      </c>
      <c r="I327" s="16">
        <f>Table13[[#This Row],[Publish Rate]]-Table13[[#This Row],[Offering Corporate Rate 2026]]</f>
        <v>52500</v>
      </c>
      <c r="J327" s="105" t="str">
        <f>IF(Table13[[#This Row],[Nilai Selisih]]&gt;100000,"Recommend","Revise")</f>
        <v>Revise</v>
      </c>
      <c r="K327" s="17" t="s">
        <v>3</v>
      </c>
      <c r="L327" s="10" t="s">
        <v>829</v>
      </c>
      <c r="M327" s="18" t="s">
        <v>3</v>
      </c>
    </row>
    <row r="328" spans="1:13" ht="14" customHeight="1" x14ac:dyDescent="0.3">
      <c r="A328" s="9">
        <v>1</v>
      </c>
      <c r="B328" s="9" t="s">
        <v>0</v>
      </c>
      <c r="C328" s="10" t="s">
        <v>805</v>
      </c>
      <c r="D328" s="10" t="s">
        <v>1268</v>
      </c>
      <c r="E328" s="18" t="s">
        <v>832</v>
      </c>
      <c r="F328" s="104" t="s">
        <v>833</v>
      </c>
      <c r="G328" s="61">
        <v>473800</v>
      </c>
      <c r="H328" s="16">
        <v>500000</v>
      </c>
      <c r="I328" s="16">
        <f>Table13[[#This Row],[Publish Rate]]-Table13[[#This Row],[Offering Corporate Rate 2026]]</f>
        <v>-26200</v>
      </c>
      <c r="J328" s="105" t="str">
        <f>IF(Table13[[#This Row],[Nilai Selisih]]&gt;100000,"Recommend","Revise")</f>
        <v>Revise</v>
      </c>
      <c r="K328" s="17" t="s">
        <v>3</v>
      </c>
      <c r="L328" s="10" t="s">
        <v>834</v>
      </c>
      <c r="M328" s="18" t="s">
        <v>3</v>
      </c>
    </row>
    <row r="329" spans="1:13" ht="14" customHeight="1" x14ac:dyDescent="0.3">
      <c r="A329" s="9">
        <v>1</v>
      </c>
      <c r="B329" s="9" t="s">
        <v>0</v>
      </c>
      <c r="C329" s="10" t="s">
        <v>805</v>
      </c>
      <c r="D329" s="10" t="s">
        <v>1268</v>
      </c>
      <c r="E329" s="18" t="s">
        <v>835</v>
      </c>
      <c r="F329" s="47" t="s">
        <v>836</v>
      </c>
      <c r="G329" s="61">
        <v>465000</v>
      </c>
      <c r="H329" s="16">
        <v>375000</v>
      </c>
      <c r="I329" s="16">
        <f>Table13[[#This Row],[Publish Rate]]-Table13[[#This Row],[Offering Corporate Rate 2026]]</f>
        <v>90000</v>
      </c>
      <c r="J329" s="105" t="str">
        <f>IF(Table13[[#This Row],[Nilai Selisih]]&gt;100000,"Recommend","Revise")</f>
        <v>Revise</v>
      </c>
      <c r="K329" s="17" t="s">
        <v>3</v>
      </c>
      <c r="L329" s="10" t="s">
        <v>829</v>
      </c>
      <c r="M329" s="18" t="s">
        <v>3</v>
      </c>
    </row>
    <row r="330" spans="1:13" ht="14" customHeight="1" x14ac:dyDescent="0.3">
      <c r="A330" s="9">
        <v>1</v>
      </c>
      <c r="B330" s="9" t="s">
        <v>0</v>
      </c>
      <c r="C330" s="10" t="s">
        <v>805</v>
      </c>
      <c r="D330" s="10" t="s">
        <v>1268</v>
      </c>
      <c r="E330" s="18" t="s">
        <v>837</v>
      </c>
      <c r="F330" s="47" t="s">
        <v>838</v>
      </c>
      <c r="G330" s="61">
        <v>460000</v>
      </c>
      <c r="H330" s="16">
        <v>400000</v>
      </c>
      <c r="I330" s="16">
        <f>Table13[[#This Row],[Publish Rate]]-Table13[[#This Row],[Offering Corporate Rate 2026]]</f>
        <v>60000</v>
      </c>
      <c r="J330" s="105" t="str">
        <f>IF(Table13[[#This Row],[Nilai Selisih]]&gt;100000,"Recommend","Revise")</f>
        <v>Revise</v>
      </c>
      <c r="K330" s="17" t="s">
        <v>3</v>
      </c>
      <c r="L330" s="10" t="s">
        <v>829</v>
      </c>
      <c r="M330" s="18" t="s">
        <v>3</v>
      </c>
    </row>
    <row r="331" spans="1:13" ht="14" customHeight="1" x14ac:dyDescent="0.3">
      <c r="A331" s="9">
        <v>1</v>
      </c>
      <c r="B331" s="9" t="s">
        <v>0</v>
      </c>
      <c r="C331" s="10" t="s">
        <v>805</v>
      </c>
      <c r="D331" s="10" t="s">
        <v>30</v>
      </c>
      <c r="E331" s="18" t="s">
        <v>1821</v>
      </c>
      <c r="F331" s="104" t="s">
        <v>839</v>
      </c>
      <c r="G331" s="61">
        <v>2429375</v>
      </c>
      <c r="H331" s="16">
        <v>2150000</v>
      </c>
      <c r="I331" s="16">
        <f>Table13[[#This Row],[Publish Rate]]-Table13[[#This Row],[Offering Corporate Rate 2026]]</f>
        <v>279375</v>
      </c>
      <c r="J331" s="105" t="str">
        <f>IF(Table13[[#This Row],[Nilai Selisih]]&gt;100000,"Recommend","Revise")</f>
        <v>Recommend</v>
      </c>
      <c r="K331" s="17" t="s">
        <v>3</v>
      </c>
      <c r="L331" s="10" t="s">
        <v>811</v>
      </c>
      <c r="M331" s="18" t="s">
        <v>3</v>
      </c>
    </row>
    <row r="332" spans="1:13" ht="14" customHeight="1" x14ac:dyDescent="0.3">
      <c r="A332" s="9">
        <v>1</v>
      </c>
      <c r="B332" s="9" t="s">
        <v>0</v>
      </c>
      <c r="C332" s="10" t="s">
        <v>805</v>
      </c>
      <c r="D332" s="10" t="s">
        <v>30</v>
      </c>
      <c r="E332" s="18" t="s">
        <v>840</v>
      </c>
      <c r="F332" s="47" t="s">
        <v>841</v>
      </c>
      <c r="G332" s="61">
        <v>2820000</v>
      </c>
      <c r="H332" s="16">
        <v>3150000</v>
      </c>
      <c r="I332" s="16">
        <f>Table13[[#This Row],[Publish Rate]]-Table13[[#This Row],[Offering Corporate Rate 2026]]</f>
        <v>-330000</v>
      </c>
      <c r="J332" s="105" t="str">
        <f>IF(Table13[[#This Row],[Nilai Selisih]]&gt;100000,"Recommend","Revise")</f>
        <v>Revise</v>
      </c>
      <c r="K332" s="17" t="s">
        <v>3</v>
      </c>
      <c r="L332" s="18" t="s">
        <v>842</v>
      </c>
      <c r="M332" s="18" t="s">
        <v>3</v>
      </c>
    </row>
    <row r="333" spans="1:13" ht="14" customHeight="1" x14ac:dyDescent="0.3">
      <c r="A333" s="9">
        <v>1</v>
      </c>
      <c r="B333" s="9" t="s">
        <v>0</v>
      </c>
      <c r="C333" s="10" t="s">
        <v>805</v>
      </c>
      <c r="D333" s="10" t="s">
        <v>1814</v>
      </c>
      <c r="E333" s="10" t="s">
        <v>843</v>
      </c>
      <c r="F333" s="1" t="s">
        <v>841</v>
      </c>
      <c r="G333" s="61">
        <v>3546500</v>
      </c>
      <c r="H333" s="16">
        <v>2350000</v>
      </c>
      <c r="I333" s="16">
        <f>Table13[[#This Row],[Publish Rate]]-Table13[[#This Row],[Offering Corporate Rate 2026]]</f>
        <v>1196500</v>
      </c>
      <c r="J333" s="105" t="str">
        <f>IF(Table13[[#This Row],[Nilai Selisih]]&gt;100000,"Recommend","Revise")</f>
        <v>Recommend</v>
      </c>
      <c r="K333" s="17" t="s">
        <v>3</v>
      </c>
      <c r="L333" s="10" t="s">
        <v>844</v>
      </c>
      <c r="M333" s="18" t="s">
        <v>3</v>
      </c>
    </row>
    <row r="334" spans="1:13" ht="14" customHeight="1" x14ac:dyDescent="0.3">
      <c r="A334" s="9">
        <v>1</v>
      </c>
      <c r="B334" s="9" t="s">
        <v>0</v>
      </c>
      <c r="C334" s="10" t="s">
        <v>805</v>
      </c>
      <c r="D334" s="10" t="s">
        <v>30</v>
      </c>
      <c r="E334" s="18" t="s">
        <v>845</v>
      </c>
      <c r="F334" s="5" t="s">
        <v>846</v>
      </c>
      <c r="G334" s="61">
        <v>6495280</v>
      </c>
      <c r="H334" s="16">
        <v>5432000</v>
      </c>
      <c r="I334" s="16">
        <f>Table13[[#This Row],[Publish Rate]]-Table13[[#This Row],[Offering Corporate Rate 2026]]</f>
        <v>1063280</v>
      </c>
      <c r="J334" s="105" t="str">
        <f>IF(Table13[[#This Row],[Nilai Selisih]]&gt;100000,"Recommend","Revise")</f>
        <v>Recommend</v>
      </c>
      <c r="K334" s="17" t="s">
        <v>3</v>
      </c>
      <c r="L334" s="10" t="s">
        <v>847</v>
      </c>
      <c r="M334" s="18" t="s">
        <v>3</v>
      </c>
    </row>
    <row r="335" spans="1:13" ht="14" customHeight="1" x14ac:dyDescent="0.3">
      <c r="A335" s="9">
        <v>1</v>
      </c>
      <c r="B335" s="9" t="s">
        <v>0</v>
      </c>
      <c r="C335" s="10" t="s">
        <v>805</v>
      </c>
      <c r="D335" s="10" t="s">
        <v>30</v>
      </c>
      <c r="E335" s="10" t="s">
        <v>848</v>
      </c>
      <c r="F335" s="47" t="s">
        <v>849</v>
      </c>
      <c r="G335" s="61">
        <v>4945000</v>
      </c>
      <c r="H335" s="16">
        <v>3975000</v>
      </c>
      <c r="I335" s="16">
        <f>Table13[[#This Row],[Publish Rate]]-Table13[[#This Row],[Offering Corporate Rate 2026]]</f>
        <v>970000</v>
      </c>
      <c r="J335" s="105" t="str">
        <f>IF(Table13[[#This Row],[Nilai Selisih]]&gt;100000,"Recommend","Revise")</f>
        <v>Recommend</v>
      </c>
      <c r="K335" s="17" t="s">
        <v>3</v>
      </c>
      <c r="L335" s="10" t="s">
        <v>850</v>
      </c>
      <c r="M335" s="18" t="s">
        <v>3</v>
      </c>
    </row>
    <row r="336" spans="1:13" ht="14" customHeight="1" x14ac:dyDescent="0.3">
      <c r="A336" s="9">
        <v>1</v>
      </c>
      <c r="B336" s="9" t="s">
        <v>0</v>
      </c>
      <c r="C336" s="10" t="s">
        <v>805</v>
      </c>
      <c r="D336" s="10" t="s">
        <v>30</v>
      </c>
      <c r="E336" s="18" t="s">
        <v>851</v>
      </c>
      <c r="F336" s="104" t="s">
        <v>852</v>
      </c>
      <c r="G336" s="61">
        <v>603000</v>
      </c>
      <c r="H336" s="16">
        <v>530000</v>
      </c>
      <c r="I336" s="16">
        <f>Table13[[#This Row],[Publish Rate]]-Table13[[#This Row],[Offering Corporate Rate 2026]]</f>
        <v>73000</v>
      </c>
      <c r="J336" s="105" t="str">
        <f>IF(Table13[[#This Row],[Nilai Selisih]]&gt;100000,"Recommend","Revise")</f>
        <v>Revise</v>
      </c>
      <c r="K336" s="17" t="s">
        <v>3</v>
      </c>
      <c r="L336" s="10" t="s">
        <v>811</v>
      </c>
      <c r="M336" s="18" t="s">
        <v>3</v>
      </c>
    </row>
    <row r="337" spans="1:13" ht="14" customHeight="1" x14ac:dyDescent="0.3">
      <c r="A337" s="9">
        <v>1</v>
      </c>
      <c r="B337" s="9" t="s">
        <v>0</v>
      </c>
      <c r="C337" s="10" t="s">
        <v>805</v>
      </c>
      <c r="D337" s="10" t="s">
        <v>30</v>
      </c>
      <c r="E337" s="20" t="s">
        <v>853</v>
      </c>
      <c r="F337" s="47" t="s">
        <v>854</v>
      </c>
      <c r="G337" s="61">
        <v>685150</v>
      </c>
      <c r="H337" s="16">
        <v>635000</v>
      </c>
      <c r="I337" s="16">
        <f>Table13[[#This Row],[Publish Rate]]-Table13[[#This Row],[Offering Corporate Rate 2026]]</f>
        <v>50150</v>
      </c>
      <c r="J337" s="105" t="str">
        <f>IF(Table13[[#This Row],[Nilai Selisih]]&gt;100000,"Recommend","Revise")</f>
        <v>Revise</v>
      </c>
      <c r="K337" s="17" t="s">
        <v>3</v>
      </c>
      <c r="L337" s="10" t="s">
        <v>814</v>
      </c>
      <c r="M337" s="18" t="s">
        <v>3</v>
      </c>
    </row>
    <row r="338" spans="1:13" ht="14" customHeight="1" x14ac:dyDescent="0.3">
      <c r="A338" s="9">
        <v>1</v>
      </c>
      <c r="B338" s="9" t="s">
        <v>0</v>
      </c>
      <c r="C338" s="10" t="s">
        <v>805</v>
      </c>
      <c r="D338" s="10" t="s">
        <v>1814</v>
      </c>
      <c r="E338" s="20" t="s">
        <v>855</v>
      </c>
      <c r="F338" s="47" t="s">
        <v>856</v>
      </c>
      <c r="G338" s="61">
        <v>553500</v>
      </c>
      <c r="H338" s="16">
        <v>540000</v>
      </c>
      <c r="I338" s="16">
        <f>Table13[[#This Row],[Publish Rate]]-Table13[[#This Row],[Offering Corporate Rate 2026]]</f>
        <v>13500</v>
      </c>
      <c r="J338" s="105" t="str">
        <f>IF(Table13[[#This Row],[Nilai Selisih]]&gt;100000,"Recommend","Revise")</f>
        <v>Revise</v>
      </c>
      <c r="K338" s="17" t="s">
        <v>3</v>
      </c>
      <c r="L338" s="10" t="s">
        <v>814</v>
      </c>
      <c r="M338" s="18" t="s">
        <v>3</v>
      </c>
    </row>
    <row r="339" spans="1:13" ht="14" customHeight="1" x14ac:dyDescent="0.3">
      <c r="A339" s="9">
        <v>1</v>
      </c>
      <c r="B339" s="9" t="s">
        <v>0</v>
      </c>
      <c r="C339" s="10" t="s">
        <v>805</v>
      </c>
      <c r="D339" s="10" t="s">
        <v>30</v>
      </c>
      <c r="E339" s="10" t="s">
        <v>857</v>
      </c>
      <c r="F339" s="47" t="s">
        <v>858</v>
      </c>
      <c r="G339" s="61">
        <v>697000</v>
      </c>
      <c r="H339" s="16">
        <v>520000</v>
      </c>
      <c r="I339" s="16">
        <f>Table13[[#This Row],[Publish Rate]]-Table13[[#This Row],[Offering Corporate Rate 2026]]</f>
        <v>177000</v>
      </c>
      <c r="J339" s="105" t="str">
        <f>IF(Table13[[#This Row],[Nilai Selisih]]&gt;100000,"Recommend","Revise")</f>
        <v>Recommend</v>
      </c>
      <c r="K339" s="17" t="s">
        <v>3</v>
      </c>
      <c r="L339" s="10" t="s">
        <v>859</v>
      </c>
      <c r="M339" s="18" t="s">
        <v>3</v>
      </c>
    </row>
    <row r="340" spans="1:13" ht="14" customHeight="1" x14ac:dyDescent="0.3">
      <c r="A340" s="9">
        <v>1</v>
      </c>
      <c r="B340" s="9" t="s">
        <v>0</v>
      </c>
      <c r="C340" s="10" t="s">
        <v>805</v>
      </c>
      <c r="D340" s="10" t="s">
        <v>30</v>
      </c>
      <c r="E340" s="19" t="s">
        <v>860</v>
      </c>
      <c r="F340" s="47" t="s">
        <v>861</v>
      </c>
      <c r="G340" s="61">
        <v>511870</v>
      </c>
      <c r="H340" s="16">
        <v>280000</v>
      </c>
      <c r="I340" s="16">
        <f>Table13[[#This Row],[Publish Rate]]-Table13[[#This Row],[Offering Corporate Rate 2026]]</f>
        <v>231870</v>
      </c>
      <c r="J340" s="105" t="str">
        <f>IF(Table13[[#This Row],[Nilai Selisih]]&gt;100000,"Recommend","Revise")</f>
        <v>Recommend</v>
      </c>
      <c r="K340" s="17" t="s">
        <v>3</v>
      </c>
      <c r="L340" s="10" t="s">
        <v>829</v>
      </c>
      <c r="M340" s="18" t="s">
        <v>3</v>
      </c>
    </row>
    <row r="341" spans="1:13" ht="14" customHeight="1" x14ac:dyDescent="0.3">
      <c r="A341" s="9">
        <v>1</v>
      </c>
      <c r="B341" s="9" t="s">
        <v>0</v>
      </c>
      <c r="C341" s="10" t="s">
        <v>805</v>
      </c>
      <c r="D341" s="10" t="s">
        <v>30</v>
      </c>
      <c r="E341" s="19" t="s">
        <v>862</v>
      </c>
      <c r="F341" s="47" t="s">
        <v>863</v>
      </c>
      <c r="G341" s="61">
        <v>511870</v>
      </c>
      <c r="H341" s="16">
        <v>275000</v>
      </c>
      <c r="I341" s="16">
        <f>Table13[[#This Row],[Publish Rate]]-Table13[[#This Row],[Offering Corporate Rate 2026]]</f>
        <v>236870</v>
      </c>
      <c r="J341" s="105" t="str">
        <f>IF(Table13[[#This Row],[Nilai Selisih]]&gt;100000,"Recommend","Revise")</f>
        <v>Recommend</v>
      </c>
      <c r="K341" s="17" t="s">
        <v>3</v>
      </c>
      <c r="L341" s="10" t="s">
        <v>864</v>
      </c>
      <c r="M341" s="18" t="s">
        <v>3</v>
      </c>
    </row>
    <row r="342" spans="1:13" ht="14" customHeight="1" x14ac:dyDescent="0.3">
      <c r="A342" s="9">
        <v>1</v>
      </c>
      <c r="B342" s="9" t="s">
        <v>0</v>
      </c>
      <c r="C342" s="10" t="s">
        <v>805</v>
      </c>
      <c r="D342" s="10" t="s">
        <v>30</v>
      </c>
      <c r="E342" s="20" t="s">
        <v>865</v>
      </c>
      <c r="F342" s="47" t="s">
        <v>866</v>
      </c>
      <c r="G342" s="61">
        <v>451000</v>
      </c>
      <c r="H342" s="16">
        <v>350000</v>
      </c>
      <c r="I342" s="16">
        <f>Table13[[#This Row],[Publish Rate]]-Table13[[#This Row],[Offering Corporate Rate 2026]]</f>
        <v>101000</v>
      </c>
      <c r="J342" s="105" t="str">
        <f>IF(Table13[[#This Row],[Nilai Selisih]]&gt;100000,"Recommend","Revise")</f>
        <v>Recommend</v>
      </c>
      <c r="K342" s="17" t="s">
        <v>3</v>
      </c>
      <c r="L342" s="10" t="s">
        <v>867</v>
      </c>
      <c r="M342" s="18" t="s">
        <v>3</v>
      </c>
    </row>
    <row r="343" spans="1:13" ht="14" customHeight="1" x14ac:dyDescent="0.3">
      <c r="A343" s="9">
        <v>1</v>
      </c>
      <c r="B343" s="9" t="s">
        <v>0</v>
      </c>
      <c r="C343" s="10" t="s">
        <v>805</v>
      </c>
      <c r="D343" s="10" t="s">
        <v>30</v>
      </c>
      <c r="E343" s="19" t="s">
        <v>868</v>
      </c>
      <c r="F343" s="47" t="s">
        <v>869</v>
      </c>
      <c r="G343" s="61">
        <v>340000</v>
      </c>
      <c r="H343" s="16">
        <v>280000</v>
      </c>
      <c r="I343" s="16">
        <f>Table13[[#This Row],[Publish Rate]]-Table13[[#This Row],[Offering Corporate Rate 2026]]</f>
        <v>60000</v>
      </c>
      <c r="J343" s="105" t="str">
        <f>IF(Table13[[#This Row],[Nilai Selisih]]&gt;100000,"Recommend","Revise")</f>
        <v>Revise</v>
      </c>
      <c r="K343" s="17" t="s">
        <v>3</v>
      </c>
      <c r="L343" s="10" t="s">
        <v>870</v>
      </c>
      <c r="M343" s="18" t="s">
        <v>3</v>
      </c>
    </row>
    <row r="344" spans="1:13" ht="14" customHeight="1" x14ac:dyDescent="0.3">
      <c r="A344" s="9">
        <v>1</v>
      </c>
      <c r="B344" s="9" t="s">
        <v>0</v>
      </c>
      <c r="C344" s="10" t="s">
        <v>805</v>
      </c>
      <c r="D344" s="10" t="s">
        <v>30</v>
      </c>
      <c r="E344" s="19" t="s">
        <v>871</v>
      </c>
      <c r="F344" s="47" t="s">
        <v>872</v>
      </c>
      <c r="G344" s="61">
        <v>370000</v>
      </c>
      <c r="H344" s="16">
        <v>345000</v>
      </c>
      <c r="I344" s="16">
        <f>Table13[[#This Row],[Publish Rate]]-Table13[[#This Row],[Offering Corporate Rate 2026]]</f>
        <v>25000</v>
      </c>
      <c r="J344" s="105" t="str">
        <f>IF(Table13[[#This Row],[Nilai Selisih]]&gt;100000,"Recommend","Revise")</f>
        <v>Revise</v>
      </c>
      <c r="K344" s="17" t="s">
        <v>3</v>
      </c>
      <c r="L344" s="10" t="s">
        <v>873</v>
      </c>
      <c r="M344" s="18" t="s">
        <v>3</v>
      </c>
    </row>
    <row r="345" spans="1:13" ht="14" customHeight="1" x14ac:dyDescent="0.3">
      <c r="A345" s="9">
        <v>1</v>
      </c>
      <c r="B345" s="9" t="s">
        <v>0</v>
      </c>
      <c r="C345" s="10" t="s">
        <v>805</v>
      </c>
      <c r="D345" s="10" t="s">
        <v>1752</v>
      </c>
      <c r="E345" s="106" t="s">
        <v>874</v>
      </c>
      <c r="F345" s="107" t="s">
        <v>875</v>
      </c>
      <c r="G345" s="14">
        <v>500000</v>
      </c>
      <c r="H345" s="15">
        <v>380000</v>
      </c>
      <c r="I345" s="16">
        <f>Table13[[#This Row],[Publish Rate]]-Table13[[#This Row],[Offering Corporate Rate 2026]]</f>
        <v>120000</v>
      </c>
      <c r="J345" s="105" t="str">
        <f>IF(Table13[[#This Row],[Nilai Selisih]]&gt;100000,"Recommend","Revise")</f>
        <v>Recommend</v>
      </c>
      <c r="K345" s="17" t="s">
        <v>3</v>
      </c>
      <c r="L345" s="108" t="s">
        <v>873</v>
      </c>
      <c r="M345" s="18" t="s">
        <v>3</v>
      </c>
    </row>
    <row r="346" spans="1:13" ht="14" customHeight="1" x14ac:dyDescent="0.3">
      <c r="A346" s="9">
        <v>1</v>
      </c>
      <c r="B346" s="9" t="s">
        <v>0</v>
      </c>
      <c r="C346" s="10" t="s">
        <v>805</v>
      </c>
      <c r="D346" s="79" t="s">
        <v>1807</v>
      </c>
      <c r="E346" s="109" t="s">
        <v>876</v>
      </c>
      <c r="F346" s="110" t="s">
        <v>877</v>
      </c>
      <c r="G346" s="14">
        <v>1000000</v>
      </c>
      <c r="H346" s="111">
        <v>725000</v>
      </c>
      <c r="I346" s="16">
        <f>Table13[[#This Row],[Publish Rate]]-Table13[[#This Row],[Offering Corporate Rate 2026]]</f>
        <v>275000</v>
      </c>
      <c r="J346" s="105" t="str">
        <f>IF(Table13[[#This Row],[Nilai Selisih]]&gt;100000,"Recommend","Revise")</f>
        <v>Recommend</v>
      </c>
      <c r="K346" s="17" t="s">
        <v>3</v>
      </c>
      <c r="L346" s="112" t="s">
        <v>878</v>
      </c>
      <c r="M346" s="18" t="s">
        <v>3</v>
      </c>
    </row>
    <row r="347" spans="1:13" ht="14" customHeight="1" x14ac:dyDescent="0.3">
      <c r="A347" s="9">
        <v>1</v>
      </c>
      <c r="B347" s="9" t="s">
        <v>0</v>
      </c>
      <c r="C347" s="10" t="s">
        <v>805</v>
      </c>
      <c r="D347" s="79" t="s">
        <v>1813</v>
      </c>
      <c r="E347" s="109" t="s">
        <v>879</v>
      </c>
      <c r="F347" s="6" t="s">
        <v>880</v>
      </c>
      <c r="G347" s="14">
        <v>755000</v>
      </c>
      <c r="H347" s="111">
        <v>500000</v>
      </c>
      <c r="I347" s="16">
        <f>Table13[[#This Row],[Publish Rate]]-Table13[[#This Row],[Offering Corporate Rate 2026]]</f>
        <v>255000</v>
      </c>
      <c r="J347" s="105" t="str">
        <f>IF(Table13[[#This Row],[Nilai Selisih]]&gt;100000,"Recommend","Revise")</f>
        <v>Recommend</v>
      </c>
      <c r="K347" s="17" t="s">
        <v>3</v>
      </c>
      <c r="L347" s="112" t="s">
        <v>35</v>
      </c>
      <c r="M347" s="18" t="s">
        <v>3</v>
      </c>
    </row>
    <row r="348" spans="1:13" ht="14" customHeight="1" x14ac:dyDescent="0.3">
      <c r="A348" s="9">
        <v>1</v>
      </c>
      <c r="B348" s="9" t="s">
        <v>0</v>
      </c>
      <c r="C348" s="10" t="s">
        <v>805</v>
      </c>
      <c r="D348" s="79" t="s">
        <v>881</v>
      </c>
      <c r="E348" s="109" t="s">
        <v>882</v>
      </c>
      <c r="F348" s="110" t="s">
        <v>883</v>
      </c>
      <c r="G348" s="59">
        <v>695000</v>
      </c>
      <c r="H348" s="111">
        <v>530000</v>
      </c>
      <c r="I348" s="16">
        <f>Table13[[#This Row],[Publish Rate]]-Table13[[#This Row],[Offering Corporate Rate 2026]]</f>
        <v>165000</v>
      </c>
      <c r="J348" s="105" t="str">
        <f>IF(Table13[[#This Row],[Nilai Selisih]]&gt;100000,"Recommend","Revise")</f>
        <v>Recommend</v>
      </c>
      <c r="K348" s="17" t="s">
        <v>3</v>
      </c>
      <c r="L348" s="112" t="s">
        <v>37</v>
      </c>
      <c r="M348" s="18" t="s">
        <v>3</v>
      </c>
    </row>
    <row r="349" spans="1:13" ht="14" customHeight="1" x14ac:dyDescent="0.3">
      <c r="A349" s="9">
        <v>1</v>
      </c>
      <c r="B349" s="9" t="s">
        <v>0</v>
      </c>
      <c r="C349" s="10" t="s">
        <v>805</v>
      </c>
      <c r="D349" s="10" t="s">
        <v>881</v>
      </c>
      <c r="E349" s="19" t="s">
        <v>884</v>
      </c>
      <c r="F349" s="47" t="s">
        <v>885</v>
      </c>
      <c r="G349" s="49">
        <v>900000</v>
      </c>
      <c r="H349" s="16">
        <v>720000</v>
      </c>
      <c r="I349" s="16">
        <f>Table13[[#This Row],[Publish Rate]]-Table13[[#This Row],[Offering Corporate Rate 2026]]</f>
        <v>180000</v>
      </c>
      <c r="J349" s="105" t="str">
        <f>IF(Table13[[#This Row],[Nilai Selisih]]&gt;100000,"Recommend","Revise")</f>
        <v>Recommend</v>
      </c>
      <c r="K349" s="17" t="s">
        <v>3</v>
      </c>
      <c r="L349" s="10" t="s">
        <v>37</v>
      </c>
      <c r="M349" s="18" t="s">
        <v>3</v>
      </c>
    </row>
    <row r="350" spans="1:13" ht="14" customHeight="1" x14ac:dyDescent="0.3">
      <c r="A350" s="9">
        <v>1</v>
      </c>
      <c r="B350" s="9" t="s">
        <v>0</v>
      </c>
      <c r="C350" s="10" t="s">
        <v>805</v>
      </c>
      <c r="D350" s="10" t="s">
        <v>1807</v>
      </c>
      <c r="E350" s="19" t="s">
        <v>886</v>
      </c>
      <c r="F350" s="47" t="s">
        <v>887</v>
      </c>
      <c r="G350" s="49">
        <v>430000</v>
      </c>
      <c r="H350" s="16">
        <v>350000</v>
      </c>
      <c r="I350" s="16">
        <f>Table13[[#This Row],[Publish Rate]]-Table13[[#This Row],[Offering Corporate Rate 2026]]</f>
        <v>80000</v>
      </c>
      <c r="J350" s="105" t="str">
        <f>IF(Table13[[#This Row],[Nilai Selisih]]&gt;100000,"Recommend","Revise")</f>
        <v>Revise</v>
      </c>
      <c r="K350" s="17" t="s">
        <v>3</v>
      </c>
      <c r="L350" s="10" t="s">
        <v>888</v>
      </c>
      <c r="M350" s="18" t="s">
        <v>3</v>
      </c>
    </row>
    <row r="351" spans="1:13" ht="14" customHeight="1" x14ac:dyDescent="0.3">
      <c r="A351" s="9">
        <v>1</v>
      </c>
      <c r="B351" s="9" t="s">
        <v>0</v>
      </c>
      <c r="C351" s="10" t="s">
        <v>805</v>
      </c>
      <c r="D351" s="10" t="s">
        <v>235</v>
      </c>
      <c r="E351" s="19" t="s">
        <v>889</v>
      </c>
      <c r="F351" s="47" t="s">
        <v>890</v>
      </c>
      <c r="G351" s="49">
        <v>550000</v>
      </c>
      <c r="H351" s="16">
        <v>410000</v>
      </c>
      <c r="I351" s="16">
        <f>Table13[[#This Row],[Publish Rate]]-Table13[[#This Row],[Offering Corporate Rate 2026]]</f>
        <v>140000</v>
      </c>
      <c r="J351" s="105" t="str">
        <f>IF(Table13[[#This Row],[Nilai Selisih]]&gt;100000,"Recommend","Revise")</f>
        <v>Recommend</v>
      </c>
      <c r="K351" s="17" t="s">
        <v>3</v>
      </c>
      <c r="L351" s="10" t="s">
        <v>867</v>
      </c>
      <c r="M351" s="18" t="s">
        <v>3</v>
      </c>
    </row>
    <row r="352" spans="1:13" ht="14" customHeight="1" x14ac:dyDescent="0.3">
      <c r="A352" s="9">
        <v>1</v>
      </c>
      <c r="B352" s="9" t="s">
        <v>0</v>
      </c>
      <c r="C352" s="10" t="s">
        <v>805</v>
      </c>
      <c r="D352" s="10" t="s">
        <v>1813</v>
      </c>
      <c r="E352" s="19" t="s">
        <v>891</v>
      </c>
      <c r="F352" s="47" t="s">
        <v>880</v>
      </c>
      <c r="G352" s="49">
        <v>364900</v>
      </c>
      <c r="H352" s="16">
        <v>300000</v>
      </c>
      <c r="I352" s="16">
        <f>Table13[[#This Row],[Publish Rate]]-Table13[[#This Row],[Offering Corporate Rate 2026]]</f>
        <v>64900</v>
      </c>
      <c r="J352" s="105" t="str">
        <f>IF(Table13[[#This Row],[Nilai Selisih]]&gt;100000,"Recommend","Revise")</f>
        <v>Revise</v>
      </c>
      <c r="K352" s="17" t="s">
        <v>3</v>
      </c>
      <c r="L352" s="10" t="s">
        <v>892</v>
      </c>
      <c r="M352" s="18" t="s">
        <v>3</v>
      </c>
    </row>
    <row r="353" spans="1:13" ht="14" customHeight="1" x14ac:dyDescent="0.3">
      <c r="A353" s="9">
        <v>1</v>
      </c>
      <c r="B353" s="9" t="s">
        <v>0</v>
      </c>
      <c r="C353" s="10" t="s">
        <v>805</v>
      </c>
      <c r="D353" s="10" t="s">
        <v>1565</v>
      </c>
      <c r="E353" s="19" t="s">
        <v>893</v>
      </c>
      <c r="F353" s="1" t="s">
        <v>894</v>
      </c>
      <c r="G353" s="49">
        <v>763000</v>
      </c>
      <c r="H353" s="16">
        <v>460000</v>
      </c>
      <c r="I353" s="16">
        <f>Table13[[#This Row],[Publish Rate]]-Table13[[#This Row],[Offering Corporate Rate 2026]]</f>
        <v>303000</v>
      </c>
      <c r="J353" s="105" t="str">
        <f>IF(Table13[[#This Row],[Nilai Selisih]]&gt;100000,"Recommend","Revise")</f>
        <v>Recommend</v>
      </c>
      <c r="K353" s="17" t="s">
        <v>3</v>
      </c>
      <c r="L353" s="10" t="s">
        <v>895</v>
      </c>
      <c r="M353" s="18" t="s">
        <v>3</v>
      </c>
    </row>
    <row r="354" spans="1:13" ht="14" customHeight="1" x14ac:dyDescent="0.3">
      <c r="A354" s="9">
        <v>1</v>
      </c>
      <c r="B354" s="9" t="s">
        <v>0</v>
      </c>
      <c r="C354" s="10" t="s">
        <v>805</v>
      </c>
      <c r="D354" s="10" t="s">
        <v>1813</v>
      </c>
      <c r="E354" s="19" t="s">
        <v>896</v>
      </c>
      <c r="F354" s="1" t="s">
        <v>897</v>
      </c>
      <c r="G354" s="49">
        <v>423529</v>
      </c>
      <c r="H354" s="16">
        <v>315000</v>
      </c>
      <c r="I354" s="16">
        <f>Table13[[#This Row],[Publish Rate]]-Table13[[#This Row],[Offering Corporate Rate 2026]]</f>
        <v>108529</v>
      </c>
      <c r="J354" s="105" t="str">
        <f>IF(Table13[[#This Row],[Nilai Selisih]]&gt;100000,"Recommend","Revise")</f>
        <v>Recommend</v>
      </c>
      <c r="K354" s="17" t="s">
        <v>3</v>
      </c>
      <c r="L354" s="10" t="s">
        <v>870</v>
      </c>
      <c r="M354" s="18" t="s">
        <v>3</v>
      </c>
    </row>
    <row r="355" spans="1:13" ht="14" customHeight="1" x14ac:dyDescent="0.3">
      <c r="A355" s="9">
        <v>1</v>
      </c>
      <c r="B355" s="9" t="s">
        <v>0</v>
      </c>
      <c r="C355" s="10" t="s">
        <v>805</v>
      </c>
      <c r="D355" s="10" t="s">
        <v>1813</v>
      </c>
      <c r="E355" s="19" t="s">
        <v>898</v>
      </c>
      <c r="F355" s="47" t="s">
        <v>899</v>
      </c>
      <c r="G355" s="49">
        <v>450000</v>
      </c>
      <c r="H355" s="16">
        <v>290000</v>
      </c>
      <c r="I355" s="16">
        <f>Table13[[#This Row],[Publish Rate]]-Table13[[#This Row],[Offering Corporate Rate 2026]]</f>
        <v>160000</v>
      </c>
      <c r="J355" s="105" t="str">
        <f>IF(Table13[[#This Row],[Nilai Selisih]]&gt;100000,"Recommend","Revise")</f>
        <v>Recommend</v>
      </c>
      <c r="K355" s="17" t="s">
        <v>3</v>
      </c>
      <c r="L355" s="10" t="s">
        <v>870</v>
      </c>
      <c r="M355" s="18" t="s">
        <v>3</v>
      </c>
    </row>
    <row r="356" spans="1:13" ht="14" customHeight="1" x14ac:dyDescent="0.3">
      <c r="A356" s="9">
        <v>1</v>
      </c>
      <c r="B356" s="9" t="s">
        <v>0</v>
      </c>
      <c r="C356" s="10" t="s">
        <v>805</v>
      </c>
      <c r="D356" s="10" t="s">
        <v>1811</v>
      </c>
      <c r="E356" s="19" t="s">
        <v>900</v>
      </c>
      <c r="F356" s="47" t="s">
        <v>901</v>
      </c>
      <c r="G356" s="49">
        <v>1000000</v>
      </c>
      <c r="H356" s="16">
        <v>785000</v>
      </c>
      <c r="I356" s="16">
        <f>Table13[[#This Row],[Publish Rate]]-Table13[[#This Row],[Offering Corporate Rate 2026]]</f>
        <v>215000</v>
      </c>
      <c r="J356" s="105" t="str">
        <f>IF(Table13[[#This Row],[Nilai Selisih]]&gt;100000,"Recommend","Revise")</f>
        <v>Recommend</v>
      </c>
      <c r="K356" s="17" t="s">
        <v>3</v>
      </c>
      <c r="L356" s="10" t="s">
        <v>35</v>
      </c>
      <c r="M356" s="18" t="s">
        <v>3</v>
      </c>
    </row>
    <row r="357" spans="1:13" ht="14" customHeight="1" x14ac:dyDescent="0.3">
      <c r="A357" s="9">
        <v>1</v>
      </c>
      <c r="B357" s="9" t="s">
        <v>0</v>
      </c>
      <c r="C357" s="10" t="s">
        <v>805</v>
      </c>
      <c r="D357" s="10" t="s">
        <v>1269</v>
      </c>
      <c r="E357" s="19" t="s">
        <v>902</v>
      </c>
      <c r="F357" s="47" t="s">
        <v>903</v>
      </c>
      <c r="G357" s="49">
        <v>925000</v>
      </c>
      <c r="H357" s="16">
        <v>650000</v>
      </c>
      <c r="I357" s="16">
        <f>Table13[[#This Row],[Publish Rate]]-Table13[[#This Row],[Offering Corporate Rate 2026]]</f>
        <v>275000</v>
      </c>
      <c r="J357" s="105" t="str">
        <f>IF(Table13[[#This Row],[Nilai Selisih]]&gt;100000,"Recommend","Revise")</f>
        <v>Recommend</v>
      </c>
      <c r="K357" s="17" t="s">
        <v>3</v>
      </c>
      <c r="L357" s="10" t="s">
        <v>35</v>
      </c>
      <c r="M357" s="18" t="s">
        <v>3</v>
      </c>
    </row>
    <row r="358" spans="1:13" ht="14" customHeight="1" x14ac:dyDescent="0.3">
      <c r="A358" s="9">
        <v>1</v>
      </c>
      <c r="B358" s="9" t="s">
        <v>0</v>
      </c>
      <c r="C358" s="10" t="s">
        <v>805</v>
      </c>
      <c r="D358" s="10" t="s">
        <v>1811</v>
      </c>
      <c r="E358" s="19" t="s">
        <v>904</v>
      </c>
      <c r="F358" s="47" t="s">
        <v>905</v>
      </c>
      <c r="G358" s="49">
        <v>650000</v>
      </c>
      <c r="H358" s="16">
        <v>530000</v>
      </c>
      <c r="I358" s="16">
        <f>Table13[[#This Row],[Publish Rate]]-Table13[[#This Row],[Offering Corporate Rate 2026]]</f>
        <v>120000</v>
      </c>
      <c r="J358" s="105" t="str">
        <f>IF(Table13[[#This Row],[Nilai Selisih]]&gt;100000,"Recommend","Revise")</f>
        <v>Recommend</v>
      </c>
      <c r="K358" s="17" t="s">
        <v>3</v>
      </c>
      <c r="L358" s="10" t="s">
        <v>37</v>
      </c>
      <c r="M358" s="18" t="s">
        <v>3</v>
      </c>
    </row>
    <row r="359" spans="1:13" ht="14" customHeight="1" x14ac:dyDescent="0.3">
      <c r="A359" s="9">
        <v>1</v>
      </c>
      <c r="B359" s="9" t="s">
        <v>0</v>
      </c>
      <c r="C359" s="10" t="s">
        <v>805</v>
      </c>
      <c r="D359" s="10" t="s">
        <v>1811</v>
      </c>
      <c r="E359" s="19" t="s">
        <v>906</v>
      </c>
      <c r="F359" s="1" t="s">
        <v>907</v>
      </c>
      <c r="G359" s="49">
        <v>975000</v>
      </c>
      <c r="H359" s="16">
        <v>430000</v>
      </c>
      <c r="I359" s="16">
        <f>Table13[[#This Row],[Publish Rate]]-Table13[[#This Row],[Offering Corporate Rate 2026]]</f>
        <v>545000</v>
      </c>
      <c r="J359" s="105" t="str">
        <f>IF(Table13[[#This Row],[Nilai Selisih]]&gt;100000,"Recommend","Revise")</f>
        <v>Recommend</v>
      </c>
      <c r="K359" s="17" t="s">
        <v>3</v>
      </c>
      <c r="L359" s="10" t="s">
        <v>908</v>
      </c>
      <c r="M359" s="18" t="s">
        <v>3</v>
      </c>
    </row>
    <row r="360" spans="1:13" ht="14" customHeight="1" x14ac:dyDescent="0.3">
      <c r="A360" s="9">
        <v>1</v>
      </c>
      <c r="B360" s="9" t="s">
        <v>0</v>
      </c>
      <c r="C360" s="10" t="s">
        <v>805</v>
      </c>
      <c r="D360" s="10" t="s">
        <v>1269</v>
      </c>
      <c r="E360" s="19" t="s">
        <v>909</v>
      </c>
      <c r="F360" s="47" t="s">
        <v>910</v>
      </c>
      <c r="G360" s="49">
        <v>454500</v>
      </c>
      <c r="H360" s="16">
        <v>325000</v>
      </c>
      <c r="I360" s="16">
        <f>Table13[[#This Row],[Publish Rate]]-Table13[[#This Row],[Offering Corporate Rate 2026]]</f>
        <v>129500</v>
      </c>
      <c r="J360" s="105" t="str">
        <f>IF(Table13[[#This Row],[Nilai Selisih]]&gt;100000,"Recommend","Revise")</f>
        <v>Recommend</v>
      </c>
      <c r="K360" s="17" t="s">
        <v>3</v>
      </c>
      <c r="L360" s="10" t="s">
        <v>911</v>
      </c>
      <c r="M360" s="18" t="s">
        <v>3</v>
      </c>
    </row>
    <row r="361" spans="1:13" ht="14" customHeight="1" x14ac:dyDescent="0.3">
      <c r="A361" s="9">
        <v>1</v>
      </c>
      <c r="B361" s="9" t="s">
        <v>0</v>
      </c>
      <c r="C361" s="10" t="s">
        <v>805</v>
      </c>
      <c r="D361" s="10" t="s">
        <v>1269</v>
      </c>
      <c r="E361" s="19" t="s">
        <v>912</v>
      </c>
      <c r="F361" s="47" t="s">
        <v>913</v>
      </c>
      <c r="G361" s="49">
        <v>450000</v>
      </c>
      <c r="H361" s="16">
        <v>340000</v>
      </c>
      <c r="I361" s="16">
        <f>Table13[[#This Row],[Publish Rate]]-Table13[[#This Row],[Offering Corporate Rate 2026]]</f>
        <v>110000</v>
      </c>
      <c r="J361" s="105" t="str">
        <f>IF(Table13[[#This Row],[Nilai Selisih]]&gt;100000,"Recommend","Revise")</f>
        <v>Recommend</v>
      </c>
      <c r="K361" s="17" t="s">
        <v>3</v>
      </c>
      <c r="L361" s="10" t="s">
        <v>914</v>
      </c>
      <c r="M361" s="18" t="s">
        <v>3</v>
      </c>
    </row>
    <row r="362" spans="1:13" ht="14" customHeight="1" x14ac:dyDescent="0.3">
      <c r="A362" s="9">
        <v>1</v>
      </c>
      <c r="B362" s="9" t="s">
        <v>0</v>
      </c>
      <c r="C362" s="10" t="s">
        <v>805</v>
      </c>
      <c r="D362" s="10" t="s">
        <v>724</v>
      </c>
      <c r="E362" s="19" t="s">
        <v>915</v>
      </c>
      <c r="F362" s="47" t="s">
        <v>916</v>
      </c>
      <c r="G362" s="49">
        <v>1249000</v>
      </c>
      <c r="H362" s="16">
        <v>810000</v>
      </c>
      <c r="I362" s="16">
        <f>Table13[[#This Row],[Publish Rate]]-Table13[[#This Row],[Offering Corporate Rate 2026]]</f>
        <v>439000</v>
      </c>
      <c r="J362" s="105" t="str">
        <f>IF(Table13[[#This Row],[Nilai Selisih]]&gt;100000,"Recommend","Revise")</f>
        <v>Recommend</v>
      </c>
      <c r="K362" s="17" t="s">
        <v>3</v>
      </c>
      <c r="L362" s="10" t="s">
        <v>35</v>
      </c>
      <c r="M362" s="18" t="s">
        <v>3</v>
      </c>
    </row>
    <row r="363" spans="1:13" ht="14" customHeight="1" x14ac:dyDescent="0.3">
      <c r="A363" s="9">
        <v>1</v>
      </c>
      <c r="B363" s="9" t="s">
        <v>0</v>
      </c>
      <c r="C363" s="10" t="s">
        <v>805</v>
      </c>
      <c r="D363" s="10" t="s">
        <v>724</v>
      </c>
      <c r="E363" s="19" t="s">
        <v>917</v>
      </c>
      <c r="F363" s="1" t="s">
        <v>918</v>
      </c>
      <c r="G363" s="49">
        <v>1900000</v>
      </c>
      <c r="H363" s="16">
        <v>800000</v>
      </c>
      <c r="I363" s="16">
        <f>Table13[[#This Row],[Publish Rate]]-Table13[[#This Row],[Offering Corporate Rate 2026]]</f>
        <v>1100000</v>
      </c>
      <c r="J363" s="105" t="str">
        <f>IF(Table13[[#This Row],[Nilai Selisih]]&gt;100000,"Recommend","Revise")</f>
        <v>Recommend</v>
      </c>
      <c r="K363" s="17" t="s">
        <v>3</v>
      </c>
      <c r="L363" s="44" t="s">
        <v>1836</v>
      </c>
      <c r="M363" s="18" t="s">
        <v>3</v>
      </c>
    </row>
    <row r="364" spans="1:13" ht="14" customHeight="1" x14ac:dyDescent="0.3">
      <c r="A364" s="9">
        <v>1</v>
      </c>
      <c r="B364" s="9" t="s">
        <v>0</v>
      </c>
      <c r="C364" s="10" t="s">
        <v>805</v>
      </c>
      <c r="D364" s="10" t="s">
        <v>724</v>
      </c>
      <c r="E364" s="19" t="s">
        <v>919</v>
      </c>
      <c r="F364" s="47" t="s">
        <v>920</v>
      </c>
      <c r="G364" s="49">
        <v>986000</v>
      </c>
      <c r="H364" s="16">
        <v>670000</v>
      </c>
      <c r="I364" s="16">
        <f>Table13[[#This Row],[Publish Rate]]-Table13[[#This Row],[Offering Corporate Rate 2026]]</f>
        <v>316000</v>
      </c>
      <c r="J364" s="105" t="str">
        <f>IF(Table13[[#This Row],[Nilai Selisih]]&gt;100000,"Recommend","Revise")</f>
        <v>Recommend</v>
      </c>
      <c r="K364" s="17" t="s">
        <v>3</v>
      </c>
      <c r="L364" s="44" t="s">
        <v>150</v>
      </c>
      <c r="M364" s="18" t="s">
        <v>3</v>
      </c>
    </row>
    <row r="365" spans="1:13" ht="14" customHeight="1" x14ac:dyDescent="0.3">
      <c r="A365" s="9">
        <v>1</v>
      </c>
      <c r="B365" s="9" t="s">
        <v>0</v>
      </c>
      <c r="C365" s="10" t="s">
        <v>805</v>
      </c>
      <c r="D365" s="10" t="s">
        <v>724</v>
      </c>
      <c r="E365" s="19" t="s">
        <v>921</v>
      </c>
      <c r="F365" s="47" t="s">
        <v>922</v>
      </c>
      <c r="G365" s="49">
        <v>720000</v>
      </c>
      <c r="H365" s="16">
        <v>645000</v>
      </c>
      <c r="I365" s="16">
        <f>Table13[[#This Row],[Publish Rate]]-Table13[[#This Row],[Offering Corporate Rate 2026]]</f>
        <v>75000</v>
      </c>
      <c r="J365" s="105" t="str">
        <f>IF(Table13[[#This Row],[Nilai Selisih]]&gt;100000,"Recommend","Revise")</f>
        <v>Revise</v>
      </c>
      <c r="K365" s="17" t="s">
        <v>3</v>
      </c>
      <c r="L365" s="44" t="s">
        <v>150</v>
      </c>
      <c r="M365" s="18" t="s">
        <v>3</v>
      </c>
    </row>
    <row r="366" spans="1:13" ht="14" customHeight="1" x14ac:dyDescent="0.3">
      <c r="A366" s="9">
        <v>1</v>
      </c>
      <c r="B366" s="9" t="s">
        <v>0</v>
      </c>
      <c r="C366" s="10" t="s">
        <v>805</v>
      </c>
      <c r="D366" s="10" t="s">
        <v>724</v>
      </c>
      <c r="E366" s="19" t="s">
        <v>923</v>
      </c>
      <c r="F366" s="47" t="s">
        <v>924</v>
      </c>
      <c r="G366" s="49">
        <v>840000</v>
      </c>
      <c r="H366" s="16">
        <v>580000</v>
      </c>
      <c r="I366" s="16">
        <f>Table13[[#This Row],[Publish Rate]]-Table13[[#This Row],[Offering Corporate Rate 2026]]</f>
        <v>260000</v>
      </c>
      <c r="J366" s="105" t="str">
        <f>IF(Table13[[#This Row],[Nilai Selisih]]&gt;100000,"Recommend","Revise")</f>
        <v>Recommend</v>
      </c>
      <c r="K366" s="17" t="s">
        <v>3</v>
      </c>
      <c r="L366" s="44" t="s">
        <v>150</v>
      </c>
      <c r="M366" s="18" t="s">
        <v>3</v>
      </c>
    </row>
    <row r="367" spans="1:13" ht="14" customHeight="1" x14ac:dyDescent="0.3">
      <c r="A367" s="9">
        <v>1</v>
      </c>
      <c r="B367" s="9" t="s">
        <v>0</v>
      </c>
      <c r="C367" s="10" t="s">
        <v>805</v>
      </c>
      <c r="D367" s="10" t="s">
        <v>724</v>
      </c>
      <c r="E367" s="19" t="s">
        <v>925</v>
      </c>
      <c r="G367" s="49">
        <v>900000</v>
      </c>
      <c r="H367" s="16">
        <v>630000</v>
      </c>
      <c r="I367" s="16">
        <f>Table13[[#This Row],[Publish Rate]]-Table13[[#This Row],[Offering Corporate Rate 2026]]</f>
        <v>270000</v>
      </c>
      <c r="J367" s="105" t="str">
        <f>IF(Table13[[#This Row],[Nilai Selisih]]&gt;100000,"Recommend","Revise")</f>
        <v>Recommend</v>
      </c>
      <c r="K367" s="17" t="s">
        <v>3</v>
      </c>
      <c r="L367" s="44" t="s">
        <v>926</v>
      </c>
      <c r="M367" s="18" t="s">
        <v>3</v>
      </c>
    </row>
    <row r="368" spans="1:13" ht="14" customHeight="1" x14ac:dyDescent="0.3">
      <c r="A368" s="9">
        <v>1</v>
      </c>
      <c r="B368" s="9" t="s">
        <v>0</v>
      </c>
      <c r="C368" s="10" t="s">
        <v>805</v>
      </c>
      <c r="D368" s="10" t="s">
        <v>724</v>
      </c>
      <c r="E368" s="19" t="s">
        <v>927</v>
      </c>
      <c r="F368" s="1" t="s">
        <v>928</v>
      </c>
      <c r="G368" s="50">
        <v>750000</v>
      </c>
      <c r="H368" s="16">
        <v>590000</v>
      </c>
      <c r="I368" s="16">
        <f>Table13[[#This Row],[Publish Rate]]-Table13[[#This Row],[Offering Corporate Rate 2026]]</f>
        <v>160000</v>
      </c>
      <c r="J368" s="105" t="str">
        <f>IF(Table13[[#This Row],[Nilai Selisih]]&gt;100000,"Recommend","Revise")</f>
        <v>Recommend</v>
      </c>
      <c r="K368" s="17" t="s">
        <v>3</v>
      </c>
      <c r="L368" s="44" t="s">
        <v>150</v>
      </c>
      <c r="M368" s="18" t="s">
        <v>3</v>
      </c>
    </row>
    <row r="369" spans="1:13" ht="14" customHeight="1" x14ac:dyDescent="0.3">
      <c r="A369" s="9">
        <v>1</v>
      </c>
      <c r="B369" s="9" t="s">
        <v>0</v>
      </c>
      <c r="C369" s="10" t="s">
        <v>805</v>
      </c>
      <c r="D369" s="10" t="s">
        <v>724</v>
      </c>
      <c r="E369" s="19" t="s">
        <v>929</v>
      </c>
      <c r="F369" s="47" t="s">
        <v>930</v>
      </c>
      <c r="G369" s="49">
        <v>445000</v>
      </c>
      <c r="H369" s="16">
        <v>350000</v>
      </c>
      <c r="I369" s="16">
        <f>Table13[[#This Row],[Publish Rate]]-Table13[[#This Row],[Offering Corporate Rate 2026]]</f>
        <v>95000</v>
      </c>
      <c r="J369" s="105" t="str">
        <f>IF(Table13[[#This Row],[Nilai Selisih]]&gt;100000,"Recommend","Revise")</f>
        <v>Revise</v>
      </c>
      <c r="K369" s="17" t="s">
        <v>3</v>
      </c>
      <c r="L369" s="44" t="s">
        <v>931</v>
      </c>
      <c r="M369" s="18" t="s">
        <v>3</v>
      </c>
    </row>
    <row r="370" spans="1:13" ht="14" customHeight="1" x14ac:dyDescent="0.3">
      <c r="A370" s="9">
        <v>1</v>
      </c>
      <c r="B370" s="9" t="s">
        <v>0</v>
      </c>
      <c r="C370" s="10" t="s">
        <v>805</v>
      </c>
      <c r="D370" s="10" t="s">
        <v>724</v>
      </c>
      <c r="E370" s="19" t="s">
        <v>932</v>
      </c>
      <c r="F370" s="47" t="s">
        <v>933</v>
      </c>
      <c r="G370" s="49">
        <v>600000</v>
      </c>
      <c r="H370" s="16">
        <v>360000</v>
      </c>
      <c r="I370" s="16">
        <f>Table13[[#This Row],[Publish Rate]]-Table13[[#This Row],[Offering Corporate Rate 2026]]</f>
        <v>240000</v>
      </c>
      <c r="J370" s="105" t="str">
        <f>IF(Table13[[#This Row],[Nilai Selisih]]&gt;100000,"Recommend","Revise")</f>
        <v>Recommend</v>
      </c>
      <c r="K370" s="17" t="s">
        <v>3</v>
      </c>
      <c r="L370" s="44" t="s">
        <v>931</v>
      </c>
      <c r="M370" s="18" t="s">
        <v>3</v>
      </c>
    </row>
    <row r="371" spans="1:13" ht="14" customHeight="1" x14ac:dyDescent="0.3">
      <c r="A371" s="9">
        <v>1</v>
      </c>
      <c r="B371" s="9" t="s">
        <v>0</v>
      </c>
      <c r="C371" s="10" t="s">
        <v>805</v>
      </c>
      <c r="D371" s="10" t="s">
        <v>724</v>
      </c>
      <c r="E371" s="19" t="s">
        <v>934</v>
      </c>
      <c r="F371" s="47" t="s">
        <v>935</v>
      </c>
      <c r="G371" s="50">
        <v>500000</v>
      </c>
      <c r="H371" s="16">
        <v>340000</v>
      </c>
      <c r="I371" s="16">
        <f>Table13[[#This Row],[Publish Rate]]-Table13[[#This Row],[Offering Corporate Rate 2026]]</f>
        <v>160000</v>
      </c>
      <c r="J371" s="105" t="str">
        <f>IF(Table13[[#This Row],[Nilai Selisih]]&gt;100000,"Recommend","Revise")</f>
        <v>Recommend</v>
      </c>
      <c r="K371" s="17" t="s">
        <v>3</v>
      </c>
      <c r="L371" s="44" t="s">
        <v>867</v>
      </c>
      <c r="M371" s="18" t="s">
        <v>3</v>
      </c>
    </row>
    <row r="372" spans="1:13" ht="14" customHeight="1" x14ac:dyDescent="0.3">
      <c r="A372" s="9">
        <v>1</v>
      </c>
      <c r="B372" s="9" t="s">
        <v>0</v>
      </c>
      <c r="C372" s="10" t="s">
        <v>805</v>
      </c>
      <c r="D372" s="10" t="s">
        <v>724</v>
      </c>
      <c r="E372" s="19" t="s">
        <v>936</v>
      </c>
      <c r="F372" s="47" t="s">
        <v>937</v>
      </c>
      <c r="G372" s="49">
        <v>550000</v>
      </c>
      <c r="H372" s="16">
        <v>340000</v>
      </c>
      <c r="I372" s="16">
        <f>Table13[[#This Row],[Publish Rate]]-Table13[[#This Row],[Offering Corporate Rate 2026]]</f>
        <v>210000</v>
      </c>
      <c r="J372" s="105" t="str">
        <f>IF(Table13[[#This Row],[Nilai Selisih]]&gt;100000,"Recommend","Revise")</f>
        <v>Recommend</v>
      </c>
      <c r="K372" s="17" t="s">
        <v>3</v>
      </c>
      <c r="L372" s="44" t="s">
        <v>867</v>
      </c>
      <c r="M372" s="18" t="s">
        <v>3</v>
      </c>
    </row>
    <row r="373" spans="1:13" ht="14" customHeight="1" x14ac:dyDescent="0.3">
      <c r="A373" s="9">
        <v>1</v>
      </c>
      <c r="B373" s="9" t="s">
        <v>0</v>
      </c>
      <c r="C373" s="10" t="s">
        <v>805</v>
      </c>
      <c r="D373" s="10" t="s">
        <v>724</v>
      </c>
      <c r="E373" s="19" t="s">
        <v>938</v>
      </c>
      <c r="F373" s="47" t="s">
        <v>939</v>
      </c>
      <c r="G373" s="50">
        <v>500000</v>
      </c>
      <c r="H373" s="16">
        <v>410000</v>
      </c>
      <c r="I373" s="16">
        <f>Table13[[#This Row],[Publish Rate]]-Table13[[#This Row],[Offering Corporate Rate 2026]]</f>
        <v>90000</v>
      </c>
      <c r="J373" s="105" t="str">
        <f>IF(Table13[[#This Row],[Nilai Selisih]]&gt;100000,"Recommend","Revise")</f>
        <v>Revise</v>
      </c>
      <c r="K373" s="17" t="s">
        <v>3</v>
      </c>
      <c r="L373" s="44" t="s">
        <v>867</v>
      </c>
      <c r="M373" s="18" t="s">
        <v>3</v>
      </c>
    </row>
    <row r="374" spans="1:13" ht="14" customHeight="1" x14ac:dyDescent="0.3">
      <c r="A374" s="9">
        <v>1</v>
      </c>
      <c r="B374" s="9" t="s">
        <v>0</v>
      </c>
      <c r="C374" s="10" t="s">
        <v>805</v>
      </c>
      <c r="D374" s="10" t="s">
        <v>1816</v>
      </c>
      <c r="E374" s="19" t="s">
        <v>940</v>
      </c>
      <c r="F374" s="47" t="s">
        <v>941</v>
      </c>
      <c r="G374" s="50">
        <v>1010000</v>
      </c>
      <c r="H374" s="16">
        <v>760000</v>
      </c>
      <c r="I374" s="16">
        <f>Table13[[#This Row],[Publish Rate]]-Table13[[#This Row],[Offering Corporate Rate 2026]]</f>
        <v>250000</v>
      </c>
      <c r="J374" s="105" t="str">
        <f>IF(Table13[[#This Row],[Nilai Selisih]]&gt;100000,"Recommend","Revise")</f>
        <v>Recommend</v>
      </c>
      <c r="K374" s="17" t="s">
        <v>3</v>
      </c>
      <c r="L374" s="10" t="s">
        <v>35</v>
      </c>
      <c r="M374" s="18" t="s">
        <v>3</v>
      </c>
    </row>
    <row r="375" spans="1:13" ht="14" customHeight="1" x14ac:dyDescent="0.3">
      <c r="A375" s="9">
        <v>1</v>
      </c>
      <c r="B375" s="9" t="s">
        <v>0</v>
      </c>
      <c r="C375" s="10" t="s">
        <v>805</v>
      </c>
      <c r="D375" s="10" t="s">
        <v>1809</v>
      </c>
      <c r="E375" s="19" t="s">
        <v>942</v>
      </c>
      <c r="F375" s="47" t="s">
        <v>943</v>
      </c>
      <c r="G375" s="50">
        <v>950000</v>
      </c>
      <c r="H375" s="16">
        <v>710000</v>
      </c>
      <c r="I375" s="16">
        <f>Table13[[#This Row],[Publish Rate]]-Table13[[#This Row],[Offering Corporate Rate 2026]]</f>
        <v>240000</v>
      </c>
      <c r="J375" s="105" t="str">
        <f>IF(Table13[[#This Row],[Nilai Selisih]]&gt;100000,"Recommend","Revise")</f>
        <v>Recommend</v>
      </c>
      <c r="K375" s="17" t="s">
        <v>3</v>
      </c>
      <c r="L375" s="10" t="s">
        <v>37</v>
      </c>
      <c r="M375" s="18" t="s">
        <v>3</v>
      </c>
    </row>
    <row r="376" spans="1:13" ht="14" customHeight="1" x14ac:dyDescent="0.3">
      <c r="A376" s="9">
        <v>1</v>
      </c>
      <c r="B376" s="9" t="s">
        <v>0</v>
      </c>
      <c r="C376" s="10" t="s">
        <v>805</v>
      </c>
      <c r="D376" s="10" t="s">
        <v>1812</v>
      </c>
      <c r="E376" s="19" t="s">
        <v>944</v>
      </c>
      <c r="F376" s="47" t="s">
        <v>945</v>
      </c>
      <c r="G376" s="50">
        <v>1005000</v>
      </c>
      <c r="H376" s="16">
        <v>810000</v>
      </c>
      <c r="I376" s="16">
        <f>Table13[[#This Row],[Publish Rate]]-Table13[[#This Row],[Offering Corporate Rate 2026]]</f>
        <v>195000</v>
      </c>
      <c r="J376" s="105" t="str">
        <f>IF(Table13[[#This Row],[Nilai Selisih]]&gt;100000,"Recommend","Revise")</f>
        <v>Recommend</v>
      </c>
      <c r="K376" s="17" t="s">
        <v>3</v>
      </c>
      <c r="L376" s="10" t="s">
        <v>1835</v>
      </c>
      <c r="M376" s="18" t="s">
        <v>3</v>
      </c>
    </row>
    <row r="377" spans="1:13" ht="14" customHeight="1" x14ac:dyDescent="0.3">
      <c r="A377" s="9">
        <v>1</v>
      </c>
      <c r="B377" s="9" t="s">
        <v>0</v>
      </c>
      <c r="C377" s="10" t="s">
        <v>805</v>
      </c>
      <c r="D377" s="10" t="s">
        <v>513</v>
      </c>
      <c r="E377" s="19" t="s">
        <v>946</v>
      </c>
      <c r="F377" s="47" t="s">
        <v>947</v>
      </c>
      <c r="G377" s="50">
        <v>1300000</v>
      </c>
      <c r="H377" s="16">
        <v>735000</v>
      </c>
      <c r="I377" s="16">
        <f>Table13[[#This Row],[Publish Rate]]-Table13[[#This Row],[Offering Corporate Rate 2026]]</f>
        <v>565000</v>
      </c>
      <c r="J377" s="105" t="str">
        <f>IF(Table13[[#This Row],[Nilai Selisih]]&gt;100000,"Recommend","Revise")</f>
        <v>Recommend</v>
      </c>
      <c r="K377" s="17" t="s">
        <v>3</v>
      </c>
      <c r="L377" s="10" t="s">
        <v>35</v>
      </c>
      <c r="M377" s="18" t="s">
        <v>3</v>
      </c>
    </row>
    <row r="378" spans="1:13" ht="14" customHeight="1" x14ac:dyDescent="0.3">
      <c r="A378" s="9">
        <v>1</v>
      </c>
      <c r="B378" s="9" t="s">
        <v>0</v>
      </c>
      <c r="C378" s="10" t="s">
        <v>805</v>
      </c>
      <c r="D378" s="10" t="s">
        <v>1817</v>
      </c>
      <c r="E378" s="19" t="s">
        <v>948</v>
      </c>
      <c r="F378" s="47" t="s">
        <v>949</v>
      </c>
      <c r="G378" s="50">
        <v>1550000</v>
      </c>
      <c r="H378" s="16">
        <v>777000</v>
      </c>
      <c r="I378" s="16">
        <f>Table13[[#This Row],[Publish Rate]]-Table13[[#This Row],[Offering Corporate Rate 2026]]</f>
        <v>773000</v>
      </c>
      <c r="J378" s="105" t="str">
        <f>IF(Table13[[#This Row],[Nilai Selisih]]&gt;100000,"Recommend","Revise")</f>
        <v>Recommend</v>
      </c>
      <c r="K378" s="17" t="s">
        <v>3</v>
      </c>
      <c r="L378" s="10" t="s">
        <v>35</v>
      </c>
      <c r="M378" s="18" t="s">
        <v>3</v>
      </c>
    </row>
    <row r="379" spans="1:13" ht="14" customHeight="1" x14ac:dyDescent="0.3">
      <c r="A379" s="9">
        <v>1</v>
      </c>
      <c r="B379" s="9" t="s">
        <v>0</v>
      </c>
      <c r="C379" s="10" t="s">
        <v>805</v>
      </c>
      <c r="D379" s="10" t="s">
        <v>1816</v>
      </c>
      <c r="E379" s="19" t="s">
        <v>950</v>
      </c>
      <c r="F379" s="47" t="s">
        <v>951</v>
      </c>
      <c r="G379" s="50">
        <v>820000</v>
      </c>
      <c r="H379" s="16">
        <v>560000</v>
      </c>
      <c r="I379" s="16">
        <f>Table13[[#This Row],[Publish Rate]]-Table13[[#This Row],[Offering Corporate Rate 2026]]</f>
        <v>260000</v>
      </c>
      <c r="J379" s="105" t="str">
        <f>IF(Table13[[#This Row],[Nilai Selisih]]&gt;100000,"Recommend","Revise")</f>
        <v>Recommend</v>
      </c>
      <c r="K379" s="17" t="s">
        <v>3</v>
      </c>
      <c r="L379" s="10" t="s">
        <v>952</v>
      </c>
      <c r="M379" s="18" t="s">
        <v>3</v>
      </c>
    </row>
    <row r="380" spans="1:13" ht="14" customHeight="1" x14ac:dyDescent="0.3">
      <c r="A380" s="9">
        <v>1</v>
      </c>
      <c r="B380" s="9" t="s">
        <v>0</v>
      </c>
      <c r="C380" s="10" t="s">
        <v>805</v>
      </c>
      <c r="D380" s="10" t="s">
        <v>1806</v>
      </c>
      <c r="E380" s="19" t="s">
        <v>953</v>
      </c>
      <c r="F380" s="47" t="s">
        <v>954</v>
      </c>
      <c r="G380" s="50">
        <v>1020000</v>
      </c>
      <c r="H380" s="16">
        <v>700000</v>
      </c>
      <c r="I380" s="16">
        <f>Table13[[#This Row],[Publish Rate]]-Table13[[#This Row],[Offering Corporate Rate 2026]]</f>
        <v>320000</v>
      </c>
      <c r="J380" s="105" t="str">
        <f>IF(Table13[[#This Row],[Nilai Selisih]]&gt;100000,"Recommend","Revise")</f>
        <v>Recommend</v>
      </c>
      <c r="K380" s="17" t="s">
        <v>3</v>
      </c>
      <c r="L380" s="10" t="s">
        <v>37</v>
      </c>
      <c r="M380" s="18" t="s">
        <v>3</v>
      </c>
    </row>
    <row r="381" spans="1:13" ht="14" customHeight="1" x14ac:dyDescent="0.3">
      <c r="A381" s="9">
        <v>1</v>
      </c>
      <c r="B381" s="9" t="s">
        <v>0</v>
      </c>
      <c r="C381" s="10" t="s">
        <v>805</v>
      </c>
      <c r="D381" s="10" t="s">
        <v>955</v>
      </c>
      <c r="E381" s="19" t="s">
        <v>956</v>
      </c>
      <c r="F381" s="47" t="s">
        <v>957</v>
      </c>
      <c r="G381" s="50">
        <v>700000</v>
      </c>
      <c r="H381" s="16">
        <v>595000</v>
      </c>
      <c r="I381" s="16">
        <f>Table13[[#This Row],[Publish Rate]]-Table13[[#This Row],[Offering Corporate Rate 2026]]</f>
        <v>105000</v>
      </c>
      <c r="J381" s="105" t="str">
        <f>IF(Table13[[#This Row],[Nilai Selisih]]&gt;100000,"Recommend","Revise")</f>
        <v>Recommend</v>
      </c>
      <c r="K381" s="17" t="s">
        <v>3</v>
      </c>
      <c r="L381" s="10" t="s">
        <v>37</v>
      </c>
      <c r="M381" s="18" t="s">
        <v>3</v>
      </c>
    </row>
    <row r="382" spans="1:13" ht="14" customHeight="1" x14ac:dyDescent="0.3">
      <c r="A382" s="9">
        <v>1</v>
      </c>
      <c r="B382" s="9" t="s">
        <v>0</v>
      </c>
      <c r="C382" s="10" t="s">
        <v>805</v>
      </c>
      <c r="D382" s="10" t="s">
        <v>1817</v>
      </c>
      <c r="E382" s="19" t="s">
        <v>958</v>
      </c>
      <c r="F382" s="47" t="s">
        <v>959</v>
      </c>
      <c r="G382" s="50">
        <v>1050000</v>
      </c>
      <c r="H382" s="16">
        <v>595000</v>
      </c>
      <c r="I382" s="16">
        <f>Table13[[#This Row],[Publish Rate]]-Table13[[#This Row],[Offering Corporate Rate 2026]]</f>
        <v>455000</v>
      </c>
      <c r="J382" s="105" t="str">
        <f>IF(Table13[[#This Row],[Nilai Selisih]]&gt;100000,"Recommend","Revise")</f>
        <v>Recommend</v>
      </c>
      <c r="K382" s="17" t="s">
        <v>3</v>
      </c>
      <c r="L382" s="10" t="s">
        <v>35</v>
      </c>
      <c r="M382" s="18" t="s">
        <v>3</v>
      </c>
    </row>
    <row r="383" spans="1:13" ht="14" customHeight="1" x14ac:dyDescent="0.3">
      <c r="A383" s="9">
        <v>1</v>
      </c>
      <c r="B383" s="9" t="s">
        <v>0</v>
      </c>
      <c r="C383" s="10" t="s">
        <v>805</v>
      </c>
      <c r="D383" s="10" t="s">
        <v>1812</v>
      </c>
      <c r="E383" s="19" t="s">
        <v>960</v>
      </c>
      <c r="G383" s="50">
        <v>940000</v>
      </c>
      <c r="H383" s="16">
        <v>665000</v>
      </c>
      <c r="I383" s="16">
        <f>Table13[[#This Row],[Publish Rate]]-Table13[[#This Row],[Offering Corporate Rate 2026]]</f>
        <v>275000</v>
      </c>
      <c r="J383" s="105" t="str">
        <f>IF(Table13[[#This Row],[Nilai Selisih]]&gt;100000,"Recommend","Revise")</f>
        <v>Recommend</v>
      </c>
      <c r="K383" s="17" t="s">
        <v>3</v>
      </c>
      <c r="L383" s="10" t="s">
        <v>37</v>
      </c>
      <c r="M383" s="18" t="s">
        <v>3</v>
      </c>
    </row>
    <row r="384" spans="1:13" ht="14" customHeight="1" x14ac:dyDescent="0.3">
      <c r="A384" s="9">
        <v>1</v>
      </c>
      <c r="B384" s="9" t="s">
        <v>0</v>
      </c>
      <c r="C384" s="10" t="s">
        <v>805</v>
      </c>
      <c r="D384" s="10" t="s">
        <v>1812</v>
      </c>
      <c r="E384" s="19" t="s">
        <v>961</v>
      </c>
      <c r="F384" s="47" t="s">
        <v>962</v>
      </c>
      <c r="G384" s="50">
        <v>850000</v>
      </c>
      <c r="H384" s="16">
        <v>580000</v>
      </c>
      <c r="I384" s="16">
        <f>Table13[[#This Row],[Publish Rate]]-Table13[[#This Row],[Offering Corporate Rate 2026]]</f>
        <v>270000</v>
      </c>
      <c r="J384" s="105" t="str">
        <f>IF(Table13[[#This Row],[Nilai Selisih]]&gt;100000,"Recommend","Revise")</f>
        <v>Recommend</v>
      </c>
      <c r="K384" s="17" t="s">
        <v>3</v>
      </c>
      <c r="L384" s="10" t="s">
        <v>37</v>
      </c>
      <c r="M384" s="18" t="s">
        <v>3</v>
      </c>
    </row>
    <row r="385" spans="1:13" ht="14" customHeight="1" x14ac:dyDescent="0.3">
      <c r="A385" s="9">
        <v>1</v>
      </c>
      <c r="B385" s="9" t="s">
        <v>0</v>
      </c>
      <c r="C385" s="10" t="s">
        <v>805</v>
      </c>
      <c r="D385" s="10" t="s">
        <v>955</v>
      </c>
      <c r="E385" s="19" t="s">
        <v>963</v>
      </c>
      <c r="F385" s="47" t="s">
        <v>964</v>
      </c>
      <c r="G385" s="50">
        <v>450000</v>
      </c>
      <c r="H385" s="16">
        <v>400000</v>
      </c>
      <c r="I385" s="16">
        <f>Table13[[#This Row],[Publish Rate]]-Table13[[#This Row],[Offering Corporate Rate 2026]]</f>
        <v>50000</v>
      </c>
      <c r="J385" s="105" t="str">
        <f>IF(Table13[[#This Row],[Nilai Selisih]]&gt;100000,"Recommend","Revise")</f>
        <v>Revise</v>
      </c>
      <c r="K385" s="17" t="s">
        <v>3</v>
      </c>
      <c r="L385" s="10" t="s">
        <v>965</v>
      </c>
      <c r="M385" s="18" t="s">
        <v>3</v>
      </c>
    </row>
    <row r="386" spans="1:13" ht="14" customHeight="1" x14ac:dyDescent="0.3">
      <c r="A386" s="9">
        <v>1</v>
      </c>
      <c r="B386" s="9" t="s">
        <v>0</v>
      </c>
      <c r="C386" s="10" t="s">
        <v>805</v>
      </c>
      <c r="D386" s="10" t="s">
        <v>513</v>
      </c>
      <c r="E386" s="19" t="s">
        <v>966</v>
      </c>
      <c r="F386" s="47" t="s">
        <v>967</v>
      </c>
      <c r="G386" s="50">
        <v>650000</v>
      </c>
      <c r="H386" s="16">
        <v>380000</v>
      </c>
      <c r="I386" s="16">
        <f>Table13[[#This Row],[Publish Rate]]-Table13[[#This Row],[Offering Corporate Rate 2026]]</f>
        <v>270000</v>
      </c>
      <c r="J386" s="105" t="str">
        <f>IF(Table13[[#This Row],[Nilai Selisih]]&gt;100000,"Recommend","Revise")</f>
        <v>Recommend</v>
      </c>
      <c r="K386" s="17" t="s">
        <v>3</v>
      </c>
      <c r="L386" s="10" t="s">
        <v>867</v>
      </c>
      <c r="M386" s="18" t="s">
        <v>3</v>
      </c>
    </row>
    <row r="387" spans="1:13" ht="14" customHeight="1" x14ac:dyDescent="0.3">
      <c r="A387" s="9">
        <v>1</v>
      </c>
      <c r="B387" s="9" t="s">
        <v>0</v>
      </c>
      <c r="C387" s="10" t="s">
        <v>805</v>
      </c>
      <c r="D387" s="10" t="s">
        <v>362</v>
      </c>
      <c r="E387" s="19" t="s">
        <v>968</v>
      </c>
      <c r="F387" s="47" t="s">
        <v>969</v>
      </c>
      <c r="G387" s="50">
        <v>650000</v>
      </c>
      <c r="H387" s="16">
        <v>510000</v>
      </c>
      <c r="I387" s="16">
        <f>Table13[[#This Row],[Publish Rate]]-Table13[[#This Row],[Offering Corporate Rate 2026]]</f>
        <v>140000</v>
      </c>
      <c r="J387" s="105" t="str">
        <f>IF(Table13[[#This Row],[Nilai Selisih]]&gt;100000,"Recommend","Revise")</f>
        <v>Recommend</v>
      </c>
      <c r="K387" s="17" t="s">
        <v>3</v>
      </c>
      <c r="L387" s="10" t="s">
        <v>867</v>
      </c>
      <c r="M387" s="18" t="s">
        <v>3</v>
      </c>
    </row>
    <row r="388" spans="1:13" ht="14" customHeight="1" x14ac:dyDescent="0.3">
      <c r="A388" s="9">
        <v>1</v>
      </c>
      <c r="B388" s="9" t="s">
        <v>0</v>
      </c>
      <c r="C388" s="10" t="s">
        <v>805</v>
      </c>
      <c r="D388" s="10" t="s">
        <v>1817</v>
      </c>
      <c r="E388" s="19" t="s">
        <v>970</v>
      </c>
      <c r="F388" s="47" t="s">
        <v>971</v>
      </c>
      <c r="G388" s="50">
        <v>625000</v>
      </c>
      <c r="H388" s="16">
        <v>425000</v>
      </c>
      <c r="I388" s="16">
        <f>Table13[[#This Row],[Publish Rate]]-Table13[[#This Row],[Offering Corporate Rate 2026]]</f>
        <v>200000</v>
      </c>
      <c r="J388" s="105" t="str">
        <f>IF(Table13[[#This Row],[Nilai Selisih]]&gt;100000,"Recommend","Revise")</f>
        <v>Recommend</v>
      </c>
      <c r="K388" s="17" t="s">
        <v>3</v>
      </c>
      <c r="L388" s="10" t="s">
        <v>867</v>
      </c>
      <c r="M388" s="18" t="s">
        <v>3</v>
      </c>
    </row>
    <row r="389" spans="1:13" ht="14" customHeight="1" x14ac:dyDescent="0.3">
      <c r="A389" s="9">
        <v>1</v>
      </c>
      <c r="B389" s="9" t="s">
        <v>0</v>
      </c>
      <c r="C389" s="10" t="s">
        <v>805</v>
      </c>
      <c r="D389" s="10" t="s">
        <v>1812</v>
      </c>
      <c r="E389" s="19" t="s">
        <v>972</v>
      </c>
      <c r="F389" s="47" t="s">
        <v>973</v>
      </c>
      <c r="G389" s="50">
        <v>700000</v>
      </c>
      <c r="H389" s="16">
        <v>950000</v>
      </c>
      <c r="I389" s="16">
        <f>Table13[[#This Row],[Publish Rate]]-Table13[[#This Row],[Offering Corporate Rate 2026]]</f>
        <v>-250000</v>
      </c>
      <c r="J389" s="105" t="str">
        <f>IF(Table13[[#This Row],[Nilai Selisih]]&gt;100000,"Recommend","Revise")</f>
        <v>Revise</v>
      </c>
      <c r="K389" s="17" t="s">
        <v>3</v>
      </c>
      <c r="L389" s="10" t="s">
        <v>1837</v>
      </c>
      <c r="M389" s="18" t="s">
        <v>3</v>
      </c>
    </row>
    <row r="390" spans="1:13" ht="14" customHeight="1" x14ac:dyDescent="0.3">
      <c r="A390" s="9">
        <v>1</v>
      </c>
      <c r="B390" s="9" t="s">
        <v>0</v>
      </c>
      <c r="C390" s="10" t="s">
        <v>805</v>
      </c>
      <c r="D390" s="10" t="s">
        <v>1530</v>
      </c>
      <c r="E390" s="19" t="s">
        <v>974</v>
      </c>
      <c r="F390" s="47" t="s">
        <v>975</v>
      </c>
      <c r="G390" s="50">
        <v>400000</v>
      </c>
      <c r="H390" s="16">
        <v>300000</v>
      </c>
      <c r="I390" s="16">
        <f>Table13[[#This Row],[Publish Rate]]-Table13[[#This Row],[Offering Corporate Rate 2026]]</f>
        <v>100000</v>
      </c>
      <c r="J390" s="105" t="str">
        <f>IF(Table13[[#This Row],[Nilai Selisih]]&gt;100000,"Recommend","Revise")</f>
        <v>Revise</v>
      </c>
      <c r="K390" s="17" t="s">
        <v>3</v>
      </c>
      <c r="L390" s="10" t="s">
        <v>867</v>
      </c>
      <c r="M390" s="18" t="s">
        <v>3</v>
      </c>
    </row>
    <row r="391" spans="1:13" ht="14" customHeight="1" x14ac:dyDescent="0.3">
      <c r="A391" s="9">
        <v>1</v>
      </c>
      <c r="B391" s="9" t="s">
        <v>0</v>
      </c>
      <c r="C391" s="10" t="s">
        <v>805</v>
      </c>
      <c r="D391" s="10" t="s">
        <v>1815</v>
      </c>
      <c r="E391" s="19" t="s">
        <v>976</v>
      </c>
      <c r="F391" s="47" t="s">
        <v>977</v>
      </c>
      <c r="G391" s="50">
        <v>400000</v>
      </c>
      <c r="H391" s="16">
        <v>320000</v>
      </c>
      <c r="I391" s="16">
        <f>Table13[[#This Row],[Publish Rate]]-Table13[[#This Row],[Offering Corporate Rate 2026]]</f>
        <v>80000</v>
      </c>
      <c r="J391" s="105" t="str">
        <f>IF(Table13[[#This Row],[Nilai Selisih]]&gt;100000,"Recommend","Revise")</f>
        <v>Revise</v>
      </c>
      <c r="K391" s="17" t="s">
        <v>3</v>
      </c>
      <c r="L391" s="10" t="s">
        <v>867</v>
      </c>
      <c r="M391" s="18" t="s">
        <v>3</v>
      </c>
    </row>
    <row r="392" spans="1:13" ht="14" customHeight="1" x14ac:dyDescent="0.3">
      <c r="A392" s="9">
        <v>1</v>
      </c>
      <c r="B392" s="9" t="s">
        <v>0</v>
      </c>
      <c r="C392" s="10" t="s">
        <v>805</v>
      </c>
      <c r="D392" s="10" t="s">
        <v>1804</v>
      </c>
      <c r="E392" s="19" t="s">
        <v>978</v>
      </c>
      <c r="F392" s="47" t="s">
        <v>979</v>
      </c>
      <c r="G392" s="50">
        <v>700000</v>
      </c>
      <c r="H392" s="16">
        <v>455000</v>
      </c>
      <c r="I392" s="16">
        <f>Table13[[#This Row],[Publish Rate]]-Table13[[#This Row],[Offering Corporate Rate 2026]]</f>
        <v>245000</v>
      </c>
      <c r="J392" s="105" t="str">
        <f>IF(Table13[[#This Row],[Nilai Selisih]]&gt;100000,"Recommend","Revise")</f>
        <v>Recommend</v>
      </c>
      <c r="K392" s="17" t="s">
        <v>3</v>
      </c>
      <c r="L392" s="10" t="s">
        <v>867</v>
      </c>
      <c r="M392" s="18" t="s">
        <v>3</v>
      </c>
    </row>
    <row r="393" spans="1:13" ht="14" customHeight="1" x14ac:dyDescent="0.3">
      <c r="A393" s="9">
        <v>1</v>
      </c>
      <c r="B393" s="9" t="s">
        <v>0</v>
      </c>
      <c r="C393" s="10" t="s">
        <v>805</v>
      </c>
      <c r="D393" s="10" t="s">
        <v>1008</v>
      </c>
      <c r="E393" s="19" t="s">
        <v>980</v>
      </c>
      <c r="F393" s="47" t="s">
        <v>981</v>
      </c>
      <c r="G393" s="50">
        <v>1000000</v>
      </c>
      <c r="H393" s="16">
        <v>770000</v>
      </c>
      <c r="I393" s="16">
        <f>Table13[[#This Row],[Publish Rate]]-Table13[[#This Row],[Offering Corporate Rate 2026]]</f>
        <v>230000</v>
      </c>
      <c r="J393" s="105" t="str">
        <f>IF(Table13[[#This Row],[Nilai Selisih]]&gt;100000,"Recommend","Revise")</f>
        <v>Recommend</v>
      </c>
      <c r="K393" s="17" t="s">
        <v>3</v>
      </c>
      <c r="L393" s="10" t="s">
        <v>35</v>
      </c>
      <c r="M393" s="18" t="s">
        <v>3</v>
      </c>
    </row>
    <row r="394" spans="1:13" ht="14" customHeight="1" x14ac:dyDescent="0.3">
      <c r="A394" s="9">
        <v>1</v>
      </c>
      <c r="B394" s="9" t="s">
        <v>0</v>
      </c>
      <c r="C394" s="10" t="s">
        <v>805</v>
      </c>
      <c r="D394" s="10" t="s">
        <v>1808</v>
      </c>
      <c r="E394" s="19" t="s">
        <v>982</v>
      </c>
      <c r="F394" s="47" t="s">
        <v>983</v>
      </c>
      <c r="G394" s="50">
        <v>1070000</v>
      </c>
      <c r="H394" s="16">
        <v>775000</v>
      </c>
      <c r="I394" s="16">
        <f>Table13[[#This Row],[Publish Rate]]-Table13[[#This Row],[Offering Corporate Rate 2026]]</f>
        <v>295000</v>
      </c>
      <c r="J394" s="105" t="str">
        <f>IF(Table13[[#This Row],[Nilai Selisih]]&gt;100000,"Recommend","Revise")</f>
        <v>Recommend</v>
      </c>
      <c r="K394" s="17" t="s">
        <v>3</v>
      </c>
      <c r="L394" s="10" t="s">
        <v>35</v>
      </c>
      <c r="M394" s="18" t="s">
        <v>3</v>
      </c>
    </row>
    <row r="395" spans="1:13" ht="14" customHeight="1" x14ac:dyDescent="0.3">
      <c r="A395" s="9">
        <v>1</v>
      </c>
      <c r="B395" s="9" t="s">
        <v>0</v>
      </c>
      <c r="C395" s="10" t="s">
        <v>805</v>
      </c>
      <c r="D395" s="10" t="s">
        <v>1008</v>
      </c>
      <c r="E395" s="19" t="s">
        <v>984</v>
      </c>
      <c r="F395" s="47" t="s">
        <v>985</v>
      </c>
      <c r="G395" s="50">
        <v>1200000</v>
      </c>
      <c r="H395" s="16">
        <v>760000</v>
      </c>
      <c r="I395" s="16">
        <f>Table13[[#This Row],[Publish Rate]]-Table13[[#This Row],[Offering Corporate Rate 2026]]</f>
        <v>440000</v>
      </c>
      <c r="J395" s="105" t="str">
        <f>IF(Table13[[#This Row],[Nilai Selisih]]&gt;100000,"Recommend","Revise")</f>
        <v>Recommend</v>
      </c>
      <c r="K395" s="17" t="s">
        <v>3</v>
      </c>
      <c r="L395" s="10" t="s">
        <v>35</v>
      </c>
      <c r="M395" s="18" t="s">
        <v>3</v>
      </c>
    </row>
    <row r="396" spans="1:13" ht="14" customHeight="1" x14ac:dyDescent="0.3">
      <c r="A396" s="9">
        <v>1</v>
      </c>
      <c r="B396" s="9" t="s">
        <v>0</v>
      </c>
      <c r="C396" s="36" t="s">
        <v>805</v>
      </c>
      <c r="D396" s="36" t="s">
        <v>724</v>
      </c>
      <c r="E396" s="37" t="s">
        <v>986</v>
      </c>
      <c r="F396" s="82" t="s">
        <v>987</v>
      </c>
      <c r="G396" s="113">
        <v>765000</v>
      </c>
      <c r="H396" s="41">
        <v>620000</v>
      </c>
      <c r="I396" s="41">
        <f>Table13[[#This Row],[Publish Rate]]-Table13[[#This Row],[Offering Corporate Rate 2026]]</f>
        <v>145000</v>
      </c>
      <c r="J396" s="105" t="str">
        <f>IF(Table13[[#This Row],[Nilai Selisih]]&gt;100000,"Recommend","Revise")</f>
        <v>Recommend</v>
      </c>
      <c r="K396" s="17" t="s">
        <v>3</v>
      </c>
      <c r="L396" s="36" t="s">
        <v>35</v>
      </c>
      <c r="M396" s="18" t="s">
        <v>3</v>
      </c>
    </row>
    <row r="397" spans="1:13" ht="14" customHeight="1" x14ac:dyDescent="0.3">
      <c r="A397" s="9">
        <v>1</v>
      </c>
      <c r="B397" s="9" t="s">
        <v>0</v>
      </c>
      <c r="C397" s="10" t="s">
        <v>805</v>
      </c>
      <c r="D397" s="10" t="s">
        <v>1808</v>
      </c>
      <c r="E397" s="19" t="s">
        <v>988</v>
      </c>
      <c r="F397" s="47" t="s">
        <v>989</v>
      </c>
      <c r="G397" s="50">
        <v>1300000</v>
      </c>
      <c r="H397" s="16">
        <v>750000</v>
      </c>
      <c r="I397" s="16">
        <f>Table13[[#This Row],[Publish Rate]]-Table13[[#This Row],[Offering Corporate Rate 2026]]</f>
        <v>550000</v>
      </c>
      <c r="J397" s="105" t="str">
        <f>IF(Table13[[#This Row],[Nilai Selisih]]&gt;100000,"Recommend","Revise")</f>
        <v>Recommend</v>
      </c>
      <c r="K397" s="17" t="s">
        <v>3</v>
      </c>
      <c r="L397" s="10" t="s">
        <v>990</v>
      </c>
      <c r="M397" s="18" t="s">
        <v>3</v>
      </c>
    </row>
    <row r="398" spans="1:13" ht="14" customHeight="1" x14ac:dyDescent="0.3">
      <c r="A398" s="9">
        <v>1</v>
      </c>
      <c r="B398" s="9" t="s">
        <v>0</v>
      </c>
      <c r="C398" s="10" t="s">
        <v>805</v>
      </c>
      <c r="D398" s="10" t="s">
        <v>724</v>
      </c>
      <c r="E398" s="19" t="s">
        <v>991</v>
      </c>
      <c r="F398" s="47" t="s">
        <v>992</v>
      </c>
      <c r="G398" s="50">
        <v>1080000</v>
      </c>
      <c r="H398" s="16">
        <v>780000</v>
      </c>
      <c r="I398" s="16">
        <f>Table13[[#This Row],[Publish Rate]]-Table13[[#This Row],[Offering Corporate Rate 2026]]</f>
        <v>300000</v>
      </c>
      <c r="J398" s="105" t="str">
        <f>IF(Table13[[#This Row],[Nilai Selisih]]&gt;100000,"Recommend","Revise")</f>
        <v>Recommend</v>
      </c>
      <c r="K398" s="17" t="s">
        <v>3</v>
      </c>
      <c r="L398" s="10" t="s">
        <v>1842</v>
      </c>
      <c r="M398" s="18" t="s">
        <v>3</v>
      </c>
    </row>
    <row r="399" spans="1:13" ht="14" customHeight="1" x14ac:dyDescent="0.3">
      <c r="A399" s="9">
        <v>1</v>
      </c>
      <c r="B399" s="9" t="s">
        <v>0</v>
      </c>
      <c r="C399" s="10" t="s">
        <v>805</v>
      </c>
      <c r="D399" s="10" t="s">
        <v>1008</v>
      </c>
      <c r="E399" s="19" t="s">
        <v>993</v>
      </c>
      <c r="F399" s="47" t="s">
        <v>994</v>
      </c>
      <c r="G399" s="50">
        <v>761450</v>
      </c>
      <c r="H399" s="16">
        <v>580000</v>
      </c>
      <c r="I399" s="16">
        <f>Table13[[#This Row],[Publish Rate]]-Table13[[#This Row],[Offering Corporate Rate 2026]]</f>
        <v>181450</v>
      </c>
      <c r="J399" s="105" t="str">
        <f>IF(Table13[[#This Row],[Nilai Selisih]]&gt;100000,"Recommend","Revise")</f>
        <v>Recommend</v>
      </c>
      <c r="K399" s="17" t="s">
        <v>3</v>
      </c>
      <c r="L399" s="10" t="s">
        <v>37</v>
      </c>
      <c r="M399" s="18" t="s">
        <v>3</v>
      </c>
    </row>
    <row r="400" spans="1:13" ht="14" customHeight="1" x14ac:dyDescent="0.3">
      <c r="A400" s="9">
        <v>1</v>
      </c>
      <c r="B400" s="9" t="s">
        <v>0</v>
      </c>
      <c r="C400" s="10" t="s">
        <v>805</v>
      </c>
      <c r="D400" s="10" t="s">
        <v>724</v>
      </c>
      <c r="E400" s="19" t="s">
        <v>995</v>
      </c>
      <c r="F400" s="47" t="s">
        <v>996</v>
      </c>
      <c r="G400" s="50">
        <v>800000</v>
      </c>
      <c r="H400" s="16">
        <v>570000</v>
      </c>
      <c r="I400" s="16">
        <f>Table13[[#This Row],[Publish Rate]]-Table13[[#This Row],[Offering Corporate Rate 2026]]</f>
        <v>230000</v>
      </c>
      <c r="J400" s="105" t="str">
        <f>IF(Table13[[#This Row],[Nilai Selisih]]&gt;100000,"Recommend","Revise")</f>
        <v>Recommend</v>
      </c>
      <c r="K400" s="17" t="s">
        <v>3</v>
      </c>
      <c r="L400" s="10" t="s">
        <v>37</v>
      </c>
      <c r="M400" s="18" t="s">
        <v>3</v>
      </c>
    </row>
    <row r="401" spans="1:13" ht="14" customHeight="1" x14ac:dyDescent="0.3">
      <c r="A401" s="9">
        <v>1</v>
      </c>
      <c r="B401" s="9" t="s">
        <v>0</v>
      </c>
      <c r="C401" s="10" t="s">
        <v>805</v>
      </c>
      <c r="D401" s="10" t="s">
        <v>1808</v>
      </c>
      <c r="E401" s="19" t="s">
        <v>997</v>
      </c>
      <c r="F401" s="47" t="s">
        <v>998</v>
      </c>
      <c r="G401" s="50">
        <v>810000</v>
      </c>
      <c r="H401" s="16">
        <v>560000</v>
      </c>
      <c r="I401" s="16">
        <f>Table13[[#This Row],[Publish Rate]]-Table13[[#This Row],[Offering Corporate Rate 2026]]</f>
        <v>250000</v>
      </c>
      <c r="J401" s="105" t="str">
        <f>IF(Table13[[#This Row],[Nilai Selisih]]&gt;100000,"Recommend","Revise")</f>
        <v>Recommend</v>
      </c>
      <c r="K401" s="17" t="s">
        <v>3</v>
      </c>
      <c r="L401" s="10" t="s">
        <v>37</v>
      </c>
      <c r="M401" s="18" t="s">
        <v>3</v>
      </c>
    </row>
    <row r="402" spans="1:13" ht="14" customHeight="1" x14ac:dyDescent="0.3">
      <c r="A402" s="9">
        <v>1</v>
      </c>
      <c r="B402" s="9" t="s">
        <v>0</v>
      </c>
      <c r="C402" s="10" t="s">
        <v>805</v>
      </c>
      <c r="D402" s="10" t="s">
        <v>724</v>
      </c>
      <c r="E402" s="19" t="s">
        <v>999</v>
      </c>
      <c r="F402" s="47" t="s">
        <v>1000</v>
      </c>
      <c r="G402" s="50">
        <v>650000</v>
      </c>
      <c r="H402" s="16">
        <v>530000</v>
      </c>
      <c r="I402" s="16">
        <f>Table13[[#This Row],[Publish Rate]]-Table13[[#This Row],[Offering Corporate Rate 2026]]</f>
        <v>120000</v>
      </c>
      <c r="J402" s="105" t="str">
        <f>IF(Table13[[#This Row],[Nilai Selisih]]&gt;100000,"Recommend","Revise")</f>
        <v>Recommend</v>
      </c>
      <c r="K402" s="17" t="s">
        <v>3</v>
      </c>
      <c r="L402" s="10" t="s">
        <v>37</v>
      </c>
      <c r="M402" s="18" t="s">
        <v>3</v>
      </c>
    </row>
    <row r="403" spans="1:13" ht="14" customHeight="1" x14ac:dyDescent="0.3">
      <c r="A403" s="9">
        <v>1</v>
      </c>
      <c r="B403" s="9" t="s">
        <v>0</v>
      </c>
      <c r="C403" s="10" t="s">
        <v>805</v>
      </c>
      <c r="D403" s="10" t="s">
        <v>1808</v>
      </c>
      <c r="E403" s="19" t="s">
        <v>1001</v>
      </c>
      <c r="F403" s="47" t="s">
        <v>1002</v>
      </c>
      <c r="G403" s="50">
        <v>800000</v>
      </c>
      <c r="H403" s="16">
        <v>550000</v>
      </c>
      <c r="I403" s="16">
        <f>Table13[[#This Row],[Publish Rate]]-Table13[[#This Row],[Offering Corporate Rate 2026]]</f>
        <v>250000</v>
      </c>
      <c r="J403" s="105" t="str">
        <f>IF(Table13[[#This Row],[Nilai Selisih]]&gt;100000,"Recommend","Revise")</f>
        <v>Recommend</v>
      </c>
      <c r="K403" s="17" t="s">
        <v>3</v>
      </c>
      <c r="L403" s="10" t="s">
        <v>1838</v>
      </c>
      <c r="M403" s="18" t="s">
        <v>3</v>
      </c>
    </row>
    <row r="404" spans="1:13" ht="14" customHeight="1" x14ac:dyDescent="0.3">
      <c r="A404" s="9">
        <v>1</v>
      </c>
      <c r="B404" s="9" t="s">
        <v>0</v>
      </c>
      <c r="C404" s="10" t="s">
        <v>805</v>
      </c>
      <c r="D404" s="10" t="s">
        <v>1008</v>
      </c>
      <c r="E404" s="19" t="s">
        <v>1003</v>
      </c>
      <c r="F404" s="47" t="s">
        <v>1004</v>
      </c>
      <c r="G404" s="50">
        <v>620000</v>
      </c>
      <c r="H404" s="16">
        <v>420000</v>
      </c>
      <c r="I404" s="16">
        <f>Table13[[#This Row],[Publish Rate]]-Table13[[#This Row],[Offering Corporate Rate 2026]]</f>
        <v>200000</v>
      </c>
      <c r="J404" s="105" t="str">
        <f>IF(Table13[[#This Row],[Nilai Selisih]]&gt;100000,"Recommend","Revise")</f>
        <v>Recommend</v>
      </c>
      <c r="K404" s="17" t="s">
        <v>3</v>
      </c>
      <c r="L404" s="10" t="s">
        <v>867</v>
      </c>
      <c r="M404" s="18" t="s">
        <v>3</v>
      </c>
    </row>
    <row r="405" spans="1:13" ht="14" customHeight="1" x14ac:dyDescent="0.3">
      <c r="A405" s="9">
        <v>1</v>
      </c>
      <c r="B405" s="9" t="s">
        <v>0</v>
      </c>
      <c r="C405" s="10" t="s">
        <v>805</v>
      </c>
      <c r="D405" s="10" t="s">
        <v>724</v>
      </c>
      <c r="E405" s="19" t="s">
        <v>1005</v>
      </c>
      <c r="F405" s="47" t="s">
        <v>1006</v>
      </c>
      <c r="G405" s="50">
        <v>445000</v>
      </c>
      <c r="H405" s="16">
        <v>370000</v>
      </c>
      <c r="I405" s="16">
        <f>Table13[[#This Row],[Publish Rate]]-Table13[[#This Row],[Offering Corporate Rate 2026]]</f>
        <v>75000</v>
      </c>
      <c r="J405" s="105" t="str">
        <f>IF(Table13[[#This Row],[Nilai Selisih]]&gt;100000,"Recommend","Revise")</f>
        <v>Revise</v>
      </c>
      <c r="K405" s="17" t="s">
        <v>3</v>
      </c>
      <c r="L405" s="10" t="s">
        <v>1007</v>
      </c>
      <c r="M405" s="18" t="s">
        <v>3</v>
      </c>
    </row>
    <row r="406" spans="1:13" ht="14" customHeight="1" x14ac:dyDescent="0.3">
      <c r="A406" s="9">
        <v>1</v>
      </c>
      <c r="B406" s="9" t="s">
        <v>0</v>
      </c>
      <c r="C406" s="10" t="s">
        <v>805</v>
      </c>
      <c r="D406" s="10" t="s">
        <v>1008</v>
      </c>
      <c r="E406" s="19" t="s">
        <v>1009</v>
      </c>
      <c r="F406" s="47" t="s">
        <v>1010</v>
      </c>
      <c r="G406" s="50">
        <v>495000</v>
      </c>
      <c r="H406" s="16">
        <v>395000</v>
      </c>
      <c r="I406" s="16">
        <f>Table13[[#This Row],[Publish Rate]]-Table13[[#This Row],[Offering Corporate Rate 2026]]</f>
        <v>100000</v>
      </c>
      <c r="J406" s="105" t="str">
        <f>IF(Table13[[#This Row],[Nilai Selisih]]&gt;100000,"Recommend","Revise")</f>
        <v>Revise</v>
      </c>
      <c r="K406" s="17" t="s">
        <v>3</v>
      </c>
      <c r="L406" s="10" t="s">
        <v>931</v>
      </c>
      <c r="M406" s="18" t="s">
        <v>3</v>
      </c>
    </row>
    <row r="407" spans="1:13" ht="14" customHeight="1" x14ac:dyDescent="0.3">
      <c r="A407" s="9">
        <v>1</v>
      </c>
      <c r="B407" s="9" t="s">
        <v>0</v>
      </c>
      <c r="C407" s="30" t="s">
        <v>805</v>
      </c>
      <c r="D407" s="30" t="s">
        <v>1008</v>
      </c>
      <c r="E407" s="31" t="s">
        <v>1011</v>
      </c>
      <c r="F407" s="60" t="s">
        <v>1012</v>
      </c>
      <c r="G407" s="50">
        <v>550000</v>
      </c>
      <c r="H407" s="52">
        <v>420000</v>
      </c>
      <c r="I407" s="52">
        <f>Table13[[#This Row],[Publish Rate]]-Table13[[#This Row],[Offering Corporate Rate 2026]]</f>
        <v>130000</v>
      </c>
      <c r="J407" s="105" t="str">
        <f>IF(Table13[[#This Row],[Nilai Selisih]]&gt;100000,"Recommend","Revise")</f>
        <v>Recommend</v>
      </c>
      <c r="K407" s="17" t="s">
        <v>3</v>
      </c>
      <c r="L407" s="18" t="s">
        <v>931</v>
      </c>
      <c r="M407" s="18" t="s">
        <v>3</v>
      </c>
    </row>
    <row r="408" spans="1:13" ht="14" customHeight="1" x14ac:dyDescent="0.3">
      <c r="A408" s="9">
        <v>1</v>
      </c>
      <c r="B408" s="9" t="s">
        <v>0</v>
      </c>
      <c r="C408" s="30" t="s">
        <v>805</v>
      </c>
      <c r="D408" s="10" t="s">
        <v>1808</v>
      </c>
      <c r="E408" s="19" t="s">
        <v>1013</v>
      </c>
      <c r="F408" s="60" t="s">
        <v>1014</v>
      </c>
      <c r="G408" s="49">
        <v>470000</v>
      </c>
      <c r="H408" s="52">
        <v>370000</v>
      </c>
      <c r="I408" s="16">
        <f>Table13[[#This Row],[Publish Rate]]-Table13[[#This Row],[Offering Corporate Rate 2026]]</f>
        <v>100000</v>
      </c>
      <c r="J408" s="105" t="str">
        <f>IF(Table13[[#This Row],[Nilai Selisih]]&gt;100000,"Recommend","Revise")</f>
        <v>Revise</v>
      </c>
      <c r="K408" s="17" t="s">
        <v>3</v>
      </c>
      <c r="L408" s="18" t="s">
        <v>1015</v>
      </c>
      <c r="M408" s="18" t="s">
        <v>3</v>
      </c>
    </row>
    <row r="409" spans="1:13" ht="14" customHeight="1" x14ac:dyDescent="0.3">
      <c r="A409" s="9">
        <v>1</v>
      </c>
      <c r="B409" s="9" t="s">
        <v>0</v>
      </c>
      <c r="C409" s="30" t="s">
        <v>805</v>
      </c>
      <c r="D409" s="10" t="s">
        <v>1808</v>
      </c>
      <c r="E409" s="20" t="s">
        <v>1016</v>
      </c>
      <c r="F409" s="60" t="s">
        <v>1017</v>
      </c>
      <c r="G409" s="49">
        <v>495000</v>
      </c>
      <c r="H409" s="16">
        <v>400000</v>
      </c>
      <c r="I409" s="16">
        <f>Table13[[#This Row],[Publish Rate]]-Table13[[#This Row],[Offering Corporate Rate 2026]]</f>
        <v>95000</v>
      </c>
      <c r="J409" s="105" t="str">
        <f>IF(Table13[[#This Row],[Nilai Selisih]]&gt;100000,"Recommend","Revise")</f>
        <v>Revise</v>
      </c>
      <c r="K409" s="17" t="s">
        <v>3</v>
      </c>
      <c r="L409" s="10" t="s">
        <v>1018</v>
      </c>
      <c r="M409" s="18" t="s">
        <v>3</v>
      </c>
    </row>
    <row r="410" spans="1:13" ht="14" customHeight="1" x14ac:dyDescent="0.3">
      <c r="A410" s="9">
        <v>1</v>
      </c>
      <c r="B410" s="9" t="s">
        <v>0</v>
      </c>
      <c r="C410" s="30" t="s">
        <v>805</v>
      </c>
      <c r="D410" s="10" t="s">
        <v>1808</v>
      </c>
      <c r="E410" s="19" t="s">
        <v>1019</v>
      </c>
      <c r="F410" s="4" t="s">
        <v>1020</v>
      </c>
      <c r="G410" s="49">
        <v>590000</v>
      </c>
      <c r="H410" s="16">
        <v>440000</v>
      </c>
      <c r="I410" s="16">
        <f>Table13[[#This Row],[Publish Rate]]-Table13[[#This Row],[Offering Corporate Rate 2026]]</f>
        <v>150000</v>
      </c>
      <c r="J410" s="105" t="str">
        <f>IF(Table13[[#This Row],[Nilai Selisih]]&gt;100000,"Recommend","Revise")</f>
        <v>Recommend</v>
      </c>
      <c r="K410" s="17" t="s">
        <v>3</v>
      </c>
      <c r="L410" s="18" t="s">
        <v>931</v>
      </c>
      <c r="M410" s="18" t="s">
        <v>3</v>
      </c>
    </row>
    <row r="411" spans="1:13" ht="14" customHeight="1" x14ac:dyDescent="0.3">
      <c r="A411" s="9">
        <v>1</v>
      </c>
      <c r="B411" s="9" t="s">
        <v>0</v>
      </c>
      <c r="C411" s="30" t="s">
        <v>805</v>
      </c>
      <c r="D411" s="10" t="s">
        <v>724</v>
      </c>
      <c r="E411" s="20" t="s">
        <v>1021</v>
      </c>
      <c r="F411" s="60" t="s">
        <v>1022</v>
      </c>
      <c r="G411" s="49">
        <v>480000</v>
      </c>
      <c r="H411" s="16">
        <v>355000</v>
      </c>
      <c r="I411" s="16">
        <f>Table13[[#This Row],[Publish Rate]]-Table13[[#This Row],[Offering Corporate Rate 2026]]</f>
        <v>125000</v>
      </c>
      <c r="J411" s="105" t="str">
        <f>IF(Table13[[#This Row],[Nilai Selisih]]&gt;100000,"Recommend","Revise")</f>
        <v>Recommend</v>
      </c>
      <c r="K411" s="17" t="s">
        <v>3</v>
      </c>
      <c r="L411" s="18" t="s">
        <v>1023</v>
      </c>
      <c r="M411" s="18" t="s">
        <v>3</v>
      </c>
    </row>
    <row r="412" spans="1:13" ht="14" customHeight="1" x14ac:dyDescent="0.3">
      <c r="A412" s="9">
        <v>1</v>
      </c>
      <c r="B412" s="9" t="s">
        <v>0</v>
      </c>
      <c r="C412" s="30" t="s">
        <v>805</v>
      </c>
      <c r="D412" s="10" t="s">
        <v>1808</v>
      </c>
      <c r="E412" s="20" t="s">
        <v>1024</v>
      </c>
      <c r="F412" s="60" t="s">
        <v>1025</v>
      </c>
      <c r="G412" s="49">
        <v>480000</v>
      </c>
      <c r="H412" s="16">
        <v>390000</v>
      </c>
      <c r="I412" s="16">
        <f>Table13[[#This Row],[Publish Rate]]-Table13[[#This Row],[Offering Corporate Rate 2026]]</f>
        <v>90000</v>
      </c>
      <c r="J412" s="105" t="str">
        <f>IF(Table13[[#This Row],[Nilai Selisih]]&gt;100000,"Recommend","Revise")</f>
        <v>Revise</v>
      </c>
      <c r="K412" s="17" t="s">
        <v>3</v>
      </c>
      <c r="L412" s="10" t="s">
        <v>867</v>
      </c>
      <c r="M412" s="18" t="s">
        <v>3</v>
      </c>
    </row>
    <row r="413" spans="1:13" ht="14" customHeight="1" x14ac:dyDescent="0.3">
      <c r="A413" s="9">
        <v>1</v>
      </c>
      <c r="B413" s="9" t="s">
        <v>0</v>
      </c>
      <c r="C413" s="30" t="s">
        <v>805</v>
      </c>
      <c r="D413" s="10" t="s">
        <v>1808</v>
      </c>
      <c r="E413" s="19" t="s">
        <v>1026</v>
      </c>
      <c r="F413" s="60" t="s">
        <v>1027</v>
      </c>
      <c r="G413" s="49">
        <v>550000</v>
      </c>
      <c r="H413" s="16">
        <v>420000</v>
      </c>
      <c r="I413" s="16">
        <f>Table13[[#This Row],[Publish Rate]]-Table13[[#This Row],[Offering Corporate Rate 2026]]</f>
        <v>130000</v>
      </c>
      <c r="J413" s="105" t="str">
        <f>IF(Table13[[#This Row],[Nilai Selisih]]&gt;100000,"Recommend","Revise")</f>
        <v>Recommend</v>
      </c>
      <c r="K413" s="17" t="s">
        <v>3</v>
      </c>
      <c r="L413" s="10" t="s">
        <v>867</v>
      </c>
      <c r="M413" s="18" t="s">
        <v>3</v>
      </c>
    </row>
    <row r="414" spans="1:13" ht="14" customHeight="1" x14ac:dyDescent="0.3">
      <c r="A414" s="9">
        <v>1</v>
      </c>
      <c r="B414" s="9" t="s">
        <v>0</v>
      </c>
      <c r="C414" s="30" t="s">
        <v>805</v>
      </c>
      <c r="D414" s="10" t="s">
        <v>1808</v>
      </c>
      <c r="E414" s="20" t="s">
        <v>1028</v>
      </c>
      <c r="F414" s="60" t="s">
        <v>1029</v>
      </c>
      <c r="G414" s="49">
        <v>510000</v>
      </c>
      <c r="H414" s="16">
        <v>385000</v>
      </c>
      <c r="I414" s="16">
        <f>Table13[[#This Row],[Publish Rate]]-Table13[[#This Row],[Offering Corporate Rate 2026]]</f>
        <v>125000</v>
      </c>
      <c r="J414" s="105" t="str">
        <f>IF(Table13[[#This Row],[Nilai Selisih]]&gt;100000,"Recommend","Revise")</f>
        <v>Recommend</v>
      </c>
      <c r="K414" s="17" t="s">
        <v>3</v>
      </c>
      <c r="L414" s="10" t="s">
        <v>867</v>
      </c>
      <c r="M414" s="18" t="s">
        <v>3</v>
      </c>
    </row>
    <row r="415" spans="1:13" ht="14" customHeight="1" x14ac:dyDescent="0.3">
      <c r="A415" s="9">
        <v>1</v>
      </c>
      <c r="B415" s="9" t="s">
        <v>0</v>
      </c>
      <c r="C415" s="30" t="s">
        <v>805</v>
      </c>
      <c r="D415" s="10" t="s">
        <v>724</v>
      </c>
      <c r="E415" s="20" t="s">
        <v>1030</v>
      </c>
      <c r="F415" s="60" t="s">
        <v>1031</v>
      </c>
      <c r="G415" s="49">
        <v>550000</v>
      </c>
      <c r="H415" s="16">
        <v>395000</v>
      </c>
      <c r="I415" s="16">
        <f>Table13[[#This Row],[Publish Rate]]-Table13[[#This Row],[Offering Corporate Rate 2026]]</f>
        <v>155000</v>
      </c>
      <c r="J415" s="105" t="str">
        <f>IF(Table13[[#This Row],[Nilai Selisih]]&gt;100000,"Recommend","Revise")</f>
        <v>Recommend</v>
      </c>
      <c r="K415" s="17" t="s">
        <v>3</v>
      </c>
      <c r="L415" s="18" t="s">
        <v>867</v>
      </c>
      <c r="M415" s="18" t="s">
        <v>3</v>
      </c>
    </row>
    <row r="416" spans="1:13" ht="14" customHeight="1" x14ac:dyDescent="0.3">
      <c r="A416" s="9">
        <v>1</v>
      </c>
      <c r="B416" s="9" t="s">
        <v>0</v>
      </c>
      <c r="C416" s="30" t="s">
        <v>805</v>
      </c>
      <c r="D416" s="10" t="s">
        <v>724</v>
      </c>
      <c r="E416" s="44" t="s">
        <v>1820</v>
      </c>
      <c r="F416" s="60" t="s">
        <v>1032</v>
      </c>
      <c r="G416" s="49">
        <v>480000</v>
      </c>
      <c r="H416" s="16">
        <v>365000</v>
      </c>
      <c r="I416" s="16">
        <f>Table13[[#This Row],[Publish Rate]]-Table13[[#This Row],[Offering Corporate Rate 2026]]</f>
        <v>115000</v>
      </c>
      <c r="J416" s="105" t="str">
        <f>IF(Table13[[#This Row],[Nilai Selisih]]&gt;100000,"Recommend","Revise")</f>
        <v>Recommend</v>
      </c>
      <c r="K416" s="17" t="s">
        <v>3</v>
      </c>
      <c r="L416" s="18" t="s">
        <v>867</v>
      </c>
      <c r="M416" s="18" t="s">
        <v>3</v>
      </c>
    </row>
    <row r="417" spans="1:13" ht="14" customHeight="1" x14ac:dyDescent="0.3">
      <c r="A417" s="9">
        <v>1</v>
      </c>
      <c r="B417" s="9" t="s">
        <v>0</v>
      </c>
      <c r="C417" s="30" t="s">
        <v>805</v>
      </c>
      <c r="D417" s="10" t="s">
        <v>1808</v>
      </c>
      <c r="E417" s="19" t="s">
        <v>1033</v>
      </c>
      <c r="F417" s="47" t="s">
        <v>1034</v>
      </c>
      <c r="G417" s="49">
        <v>620000</v>
      </c>
      <c r="H417" s="16">
        <v>440000</v>
      </c>
      <c r="I417" s="16">
        <f>Table13[[#This Row],[Publish Rate]]-Table13[[#This Row],[Offering Corporate Rate 2026]]</f>
        <v>180000</v>
      </c>
      <c r="J417" s="105" t="str">
        <f>IF(Table13[[#This Row],[Nilai Selisih]]&gt;100000,"Recommend","Revise")</f>
        <v>Recommend</v>
      </c>
      <c r="K417" s="17" t="s">
        <v>3</v>
      </c>
      <c r="L417" s="10" t="s">
        <v>867</v>
      </c>
      <c r="M417" s="18" t="s">
        <v>3</v>
      </c>
    </row>
    <row r="418" spans="1:13" ht="14" customHeight="1" x14ac:dyDescent="0.3">
      <c r="A418" s="9">
        <v>1</v>
      </c>
      <c r="B418" s="9" t="s">
        <v>0</v>
      </c>
      <c r="C418" s="30" t="s">
        <v>805</v>
      </c>
      <c r="D418" s="10" t="s">
        <v>1808</v>
      </c>
      <c r="E418" s="19" t="s">
        <v>1035</v>
      </c>
      <c r="F418" s="114" t="s">
        <v>1036</v>
      </c>
      <c r="G418" s="49">
        <v>540000</v>
      </c>
      <c r="H418" s="16">
        <v>400000</v>
      </c>
      <c r="I418" s="16">
        <f>Table13[[#This Row],[Publish Rate]]-Table13[[#This Row],[Offering Corporate Rate 2026]]</f>
        <v>140000</v>
      </c>
      <c r="J418" s="105" t="str">
        <f>IF(Table13[[#This Row],[Nilai Selisih]]&gt;100000,"Recommend","Revise")</f>
        <v>Recommend</v>
      </c>
      <c r="K418" s="17" t="s">
        <v>3</v>
      </c>
      <c r="L418" s="10" t="s">
        <v>867</v>
      </c>
      <c r="M418" s="18" t="s">
        <v>3</v>
      </c>
    </row>
    <row r="419" spans="1:13" ht="14" customHeight="1" x14ac:dyDescent="0.3">
      <c r="A419" s="9">
        <v>1</v>
      </c>
      <c r="B419" s="9" t="s">
        <v>0</v>
      </c>
      <c r="C419" s="30" t="s">
        <v>805</v>
      </c>
      <c r="D419" s="10" t="s">
        <v>1808</v>
      </c>
      <c r="E419" s="19" t="s">
        <v>1037</v>
      </c>
      <c r="F419" s="115" t="s">
        <v>1038</v>
      </c>
      <c r="G419" s="49">
        <v>550000</v>
      </c>
      <c r="H419" s="16">
        <v>380000</v>
      </c>
      <c r="I419" s="16">
        <f>Table13[[#This Row],[Publish Rate]]-Table13[[#This Row],[Offering Corporate Rate 2026]]</f>
        <v>170000</v>
      </c>
      <c r="J419" s="105" t="str">
        <f>IF(Table13[[#This Row],[Nilai Selisih]]&gt;100000,"Recommend","Revise")</f>
        <v>Recommend</v>
      </c>
      <c r="K419" s="17" t="s">
        <v>3</v>
      </c>
      <c r="L419" s="10" t="s">
        <v>1839</v>
      </c>
      <c r="M419" s="18" t="s">
        <v>3</v>
      </c>
    </row>
    <row r="420" spans="1:13" ht="14" customHeight="1" x14ac:dyDescent="0.3">
      <c r="A420" s="9">
        <v>1</v>
      </c>
      <c r="B420" s="9" t="s">
        <v>0</v>
      </c>
      <c r="C420" s="30" t="s">
        <v>805</v>
      </c>
      <c r="D420" s="10" t="s">
        <v>1808</v>
      </c>
      <c r="E420" s="19" t="s">
        <v>1039</v>
      </c>
      <c r="F420" s="47" t="s">
        <v>1040</v>
      </c>
      <c r="G420" s="49">
        <v>460000</v>
      </c>
      <c r="H420" s="16">
        <v>370000</v>
      </c>
      <c r="I420" s="16">
        <f>Table13[[#This Row],[Publish Rate]]-Table13[[#This Row],[Offering Corporate Rate 2026]]</f>
        <v>90000</v>
      </c>
      <c r="J420" s="105" t="str">
        <f>IF(Table13[[#This Row],[Nilai Selisih]]&gt;100000,"Recommend","Revise")</f>
        <v>Revise</v>
      </c>
      <c r="K420" s="17" t="s">
        <v>3</v>
      </c>
      <c r="L420" s="10" t="s">
        <v>867</v>
      </c>
      <c r="M420" s="18" t="s">
        <v>3</v>
      </c>
    </row>
    <row r="421" spans="1:13" ht="14" customHeight="1" x14ac:dyDescent="0.3">
      <c r="A421" s="9">
        <v>1</v>
      </c>
      <c r="B421" s="9" t="s">
        <v>0</v>
      </c>
      <c r="C421" s="30" t="s">
        <v>805</v>
      </c>
      <c r="D421" s="10" t="s">
        <v>1808</v>
      </c>
      <c r="E421" s="19" t="s">
        <v>1041</v>
      </c>
      <c r="F421" s="47" t="s">
        <v>1042</v>
      </c>
      <c r="G421" s="49">
        <v>650000</v>
      </c>
      <c r="H421" s="16">
        <v>495000</v>
      </c>
      <c r="I421" s="16">
        <f>Table13[[#This Row],[Publish Rate]]-Table13[[#This Row],[Offering Corporate Rate 2026]]</f>
        <v>155000</v>
      </c>
      <c r="J421" s="105" t="str">
        <f>IF(Table13[[#This Row],[Nilai Selisih]]&gt;100000,"Recommend","Revise")</f>
        <v>Recommend</v>
      </c>
      <c r="K421" s="17" t="s">
        <v>3</v>
      </c>
      <c r="L421" s="10" t="s">
        <v>867</v>
      </c>
      <c r="M421" s="18" t="s">
        <v>3</v>
      </c>
    </row>
    <row r="422" spans="1:13" ht="14" customHeight="1" x14ac:dyDescent="0.3">
      <c r="A422" s="9">
        <v>1</v>
      </c>
      <c r="B422" s="9" t="s">
        <v>0</v>
      </c>
      <c r="C422" s="30" t="s">
        <v>805</v>
      </c>
      <c r="D422" s="10" t="s">
        <v>1808</v>
      </c>
      <c r="E422" s="19" t="s">
        <v>1043</v>
      </c>
      <c r="F422" s="47" t="s">
        <v>1044</v>
      </c>
      <c r="G422" s="49">
        <v>455000</v>
      </c>
      <c r="H422" s="16">
        <v>335000</v>
      </c>
      <c r="I422" s="16">
        <f>Table13[[#This Row],[Publish Rate]]-Table13[[#This Row],[Offering Corporate Rate 2026]]</f>
        <v>120000</v>
      </c>
      <c r="J422" s="105" t="str">
        <f>IF(Table13[[#This Row],[Nilai Selisih]]&gt;100000,"Recommend","Revise")</f>
        <v>Recommend</v>
      </c>
      <c r="K422" s="17" t="s">
        <v>3</v>
      </c>
      <c r="L422" s="10" t="s">
        <v>867</v>
      </c>
      <c r="M422" s="18" t="s">
        <v>3</v>
      </c>
    </row>
    <row r="423" spans="1:13" ht="14" customHeight="1" x14ac:dyDescent="0.3">
      <c r="A423" s="9">
        <v>1</v>
      </c>
      <c r="B423" s="9" t="s">
        <v>0</v>
      </c>
      <c r="C423" s="30" t="s">
        <v>805</v>
      </c>
      <c r="D423" s="10" t="s">
        <v>1008</v>
      </c>
      <c r="E423" s="19" t="s">
        <v>1045</v>
      </c>
      <c r="F423" s="47" t="s">
        <v>1046</v>
      </c>
      <c r="G423" s="49">
        <v>455000</v>
      </c>
      <c r="H423" s="16">
        <v>355000</v>
      </c>
      <c r="I423" s="16">
        <f>Table13[[#This Row],[Publish Rate]]-Table13[[#This Row],[Offering Corporate Rate 2026]]</f>
        <v>100000</v>
      </c>
      <c r="J423" s="105" t="str">
        <f>IF(Table13[[#This Row],[Nilai Selisih]]&gt;100000,"Recommend","Revise")</f>
        <v>Revise</v>
      </c>
      <c r="K423" s="17" t="s">
        <v>3</v>
      </c>
      <c r="L423" s="10" t="s">
        <v>873</v>
      </c>
      <c r="M423" s="18" t="s">
        <v>3</v>
      </c>
    </row>
    <row r="424" spans="1:13" ht="14" customHeight="1" x14ac:dyDescent="0.3">
      <c r="A424" s="9">
        <v>1</v>
      </c>
      <c r="B424" s="9" t="s">
        <v>0</v>
      </c>
      <c r="C424" s="30" t="s">
        <v>805</v>
      </c>
      <c r="D424" s="10" t="s">
        <v>1808</v>
      </c>
      <c r="E424" s="19" t="s">
        <v>1047</v>
      </c>
      <c r="F424" s="47" t="s">
        <v>1048</v>
      </c>
      <c r="G424" s="49">
        <v>470000</v>
      </c>
      <c r="H424" s="16">
        <v>360000</v>
      </c>
      <c r="I424" s="16">
        <f>Table13[[#This Row],[Publish Rate]]-Table13[[#This Row],[Offering Corporate Rate 2026]]</f>
        <v>110000</v>
      </c>
      <c r="J424" s="105" t="str">
        <f>IF(Table13[[#This Row],[Nilai Selisih]]&gt;100000,"Recommend","Revise")</f>
        <v>Recommend</v>
      </c>
      <c r="K424" s="17" t="s">
        <v>3</v>
      </c>
      <c r="L424" s="10" t="s">
        <v>867</v>
      </c>
      <c r="M424" s="18" t="s">
        <v>3</v>
      </c>
    </row>
    <row r="425" spans="1:13" ht="14" customHeight="1" x14ac:dyDescent="0.3">
      <c r="A425" s="9">
        <v>1</v>
      </c>
      <c r="B425" s="9" t="s">
        <v>0</v>
      </c>
      <c r="C425" s="30" t="s">
        <v>805</v>
      </c>
      <c r="D425" s="10" t="s">
        <v>1808</v>
      </c>
      <c r="E425" s="19" t="s">
        <v>1049</v>
      </c>
      <c r="F425" s="47" t="s">
        <v>1050</v>
      </c>
      <c r="G425" s="49">
        <v>570000</v>
      </c>
      <c r="H425" s="16">
        <v>390000</v>
      </c>
      <c r="I425" s="16">
        <f>Table13[[#This Row],[Publish Rate]]-Table13[[#This Row],[Offering Corporate Rate 2026]]</f>
        <v>180000</v>
      </c>
      <c r="J425" s="105" t="str">
        <f>IF(Table13[[#This Row],[Nilai Selisih]]&gt;100000,"Recommend","Revise")</f>
        <v>Recommend</v>
      </c>
      <c r="K425" s="17" t="s">
        <v>3</v>
      </c>
      <c r="L425" s="10" t="s">
        <v>1839</v>
      </c>
      <c r="M425" s="18" t="s">
        <v>3</v>
      </c>
    </row>
    <row r="426" spans="1:13" ht="14" customHeight="1" x14ac:dyDescent="0.3">
      <c r="A426" s="9">
        <v>1</v>
      </c>
      <c r="B426" s="9" t="s">
        <v>0</v>
      </c>
      <c r="C426" s="30" t="s">
        <v>805</v>
      </c>
      <c r="D426" s="10" t="s">
        <v>1808</v>
      </c>
      <c r="E426" s="19" t="s">
        <v>1051</v>
      </c>
      <c r="F426" s="47" t="s">
        <v>1052</v>
      </c>
      <c r="G426" s="49">
        <v>510000</v>
      </c>
      <c r="H426" s="16">
        <v>440000</v>
      </c>
      <c r="I426" s="16">
        <f>Table13[[#This Row],[Publish Rate]]-Table13[[#This Row],[Offering Corporate Rate 2026]]</f>
        <v>70000</v>
      </c>
      <c r="J426" s="105" t="str">
        <f>IF(Table13[[#This Row],[Nilai Selisih]]&gt;100000,"Recommend","Revise")</f>
        <v>Revise</v>
      </c>
      <c r="K426" s="17" t="s">
        <v>3</v>
      </c>
      <c r="L426" s="10" t="s">
        <v>867</v>
      </c>
      <c r="M426" s="18" t="s">
        <v>3</v>
      </c>
    </row>
    <row r="427" spans="1:13" ht="14" customHeight="1" x14ac:dyDescent="0.3">
      <c r="A427" s="9">
        <v>1</v>
      </c>
      <c r="B427" s="9" t="s">
        <v>0</v>
      </c>
      <c r="C427" s="30" t="s">
        <v>805</v>
      </c>
      <c r="D427" s="10" t="s">
        <v>1808</v>
      </c>
      <c r="E427" s="19" t="s">
        <v>1053</v>
      </c>
      <c r="F427" s="47" t="s">
        <v>1054</v>
      </c>
      <c r="G427" s="49">
        <v>540000</v>
      </c>
      <c r="H427" s="16">
        <v>410000</v>
      </c>
      <c r="I427" s="16">
        <f>Table13[[#This Row],[Publish Rate]]-Table13[[#This Row],[Offering Corporate Rate 2026]]</f>
        <v>130000</v>
      </c>
      <c r="J427" s="105" t="str">
        <f>IF(Table13[[#This Row],[Nilai Selisih]]&gt;100000,"Recommend","Revise")</f>
        <v>Recommend</v>
      </c>
      <c r="K427" s="17" t="s">
        <v>3</v>
      </c>
      <c r="L427" s="10" t="s">
        <v>867</v>
      </c>
      <c r="M427" s="18" t="s">
        <v>3</v>
      </c>
    </row>
    <row r="428" spans="1:13" ht="14" customHeight="1" x14ac:dyDescent="0.3">
      <c r="A428" s="9">
        <v>1</v>
      </c>
      <c r="B428" s="9" t="s">
        <v>0</v>
      </c>
      <c r="C428" s="30" t="s">
        <v>1055</v>
      </c>
      <c r="D428" s="10" t="s">
        <v>1808</v>
      </c>
      <c r="E428" s="10" t="s">
        <v>1056</v>
      </c>
      <c r="F428" s="47" t="s">
        <v>1057</v>
      </c>
      <c r="G428" s="49">
        <v>2720594</v>
      </c>
      <c r="H428" s="16">
        <v>1250000</v>
      </c>
      <c r="I428" s="16">
        <f>Table13[[#This Row],[Publish Rate]]-Table13[[#This Row],[Offering Corporate Rate 2026]]</f>
        <v>1470594</v>
      </c>
      <c r="J428" s="76" t="str">
        <f>IF(Table13[[#This Row],[Nilai Selisih]]&gt;100000,"Recommend","Revise")</f>
        <v>Recommend</v>
      </c>
      <c r="K428" s="17" t="s">
        <v>3</v>
      </c>
      <c r="L428" s="10" t="s">
        <v>1058</v>
      </c>
      <c r="M428" s="18" t="s">
        <v>3</v>
      </c>
    </row>
    <row r="429" spans="1:13" ht="14" customHeight="1" x14ac:dyDescent="0.3">
      <c r="A429" s="9">
        <v>1</v>
      </c>
      <c r="B429" s="9" t="s">
        <v>0</v>
      </c>
      <c r="C429" s="30" t="s">
        <v>1059</v>
      </c>
      <c r="D429" s="44" t="s">
        <v>1808</v>
      </c>
      <c r="E429" s="44" t="s">
        <v>1060</v>
      </c>
      <c r="F429" s="1" t="s">
        <v>1061</v>
      </c>
      <c r="G429" s="49">
        <v>1009999</v>
      </c>
      <c r="H429" s="46">
        <v>800000</v>
      </c>
      <c r="I429" s="16">
        <f>Table13[[#This Row],[Publish Rate]]-Table13[[#This Row],[Offering Corporate Rate 2026]]</f>
        <v>209999</v>
      </c>
      <c r="J429" s="76" t="str">
        <f>IF(Table13[[#This Row],[Nilai Selisih]]&gt;100000,"Recommend","Revise")</f>
        <v>Recommend</v>
      </c>
      <c r="K429" s="17" t="s">
        <v>3</v>
      </c>
      <c r="L429" s="44" t="s">
        <v>1062</v>
      </c>
      <c r="M429" s="18" t="s">
        <v>3</v>
      </c>
    </row>
    <row r="430" spans="1:13" ht="14" customHeight="1" x14ac:dyDescent="0.3">
      <c r="A430" s="9">
        <v>1</v>
      </c>
      <c r="B430" s="9" t="s">
        <v>0</v>
      </c>
      <c r="C430" s="30" t="s">
        <v>1059</v>
      </c>
      <c r="D430" s="44" t="s">
        <v>724</v>
      </c>
      <c r="E430" s="44" t="s">
        <v>1063</v>
      </c>
      <c r="F430" s="1" t="s">
        <v>1064</v>
      </c>
      <c r="G430" s="49">
        <v>1085000</v>
      </c>
      <c r="H430" s="46">
        <v>950000</v>
      </c>
      <c r="I430" s="16">
        <f>Table13[[#This Row],[Publish Rate]]-Table13[[#This Row],[Offering Corporate Rate 2026]]</f>
        <v>135000</v>
      </c>
      <c r="J430" s="76" t="str">
        <f>IF(Table13[[#This Row],[Nilai Selisih]]&gt;100000,"Recommend","Revise")</f>
        <v>Recommend</v>
      </c>
      <c r="K430" s="17" t="s">
        <v>3</v>
      </c>
      <c r="L430" s="44" t="s">
        <v>1062</v>
      </c>
      <c r="M430" s="18" t="s">
        <v>3</v>
      </c>
    </row>
    <row r="431" spans="1:13" ht="14" customHeight="1" x14ac:dyDescent="0.3">
      <c r="A431" s="9">
        <v>1</v>
      </c>
      <c r="B431" s="9" t="s">
        <v>0</v>
      </c>
      <c r="C431" s="30" t="s">
        <v>1059</v>
      </c>
      <c r="D431" s="44" t="s">
        <v>1008</v>
      </c>
      <c r="E431" s="44" t="s">
        <v>1065</v>
      </c>
      <c r="F431" s="1" t="s">
        <v>1066</v>
      </c>
      <c r="G431" s="49">
        <v>1069999</v>
      </c>
      <c r="H431" s="46">
        <v>900000</v>
      </c>
      <c r="I431" s="16">
        <f>Table13[[#This Row],[Publish Rate]]-Table13[[#This Row],[Offering Corporate Rate 2026]]</f>
        <v>169999</v>
      </c>
      <c r="J431" s="76" t="str">
        <f>IF(Table13[[#This Row],[Nilai Selisih]]&gt;100000,"Recommend","Revise")</f>
        <v>Recommend</v>
      </c>
      <c r="K431" s="17" t="s">
        <v>3</v>
      </c>
      <c r="L431" s="44" t="s">
        <v>1062</v>
      </c>
      <c r="M431" s="18" t="s">
        <v>3</v>
      </c>
    </row>
    <row r="432" spans="1:13" ht="14" customHeight="1" x14ac:dyDescent="0.3">
      <c r="A432" s="9">
        <v>1</v>
      </c>
      <c r="B432" s="9" t="s">
        <v>0</v>
      </c>
      <c r="C432" s="30" t="s">
        <v>1059</v>
      </c>
      <c r="D432" s="44" t="s">
        <v>1808</v>
      </c>
      <c r="E432" s="44" t="s">
        <v>1067</v>
      </c>
      <c r="F432" s="1" t="s">
        <v>1068</v>
      </c>
      <c r="G432" s="49">
        <v>1080000</v>
      </c>
      <c r="H432" s="46">
        <v>740000</v>
      </c>
      <c r="I432" s="16">
        <f>Table13[[#This Row],[Publish Rate]]-Table13[[#This Row],[Offering Corporate Rate 2026]]</f>
        <v>340000</v>
      </c>
      <c r="J432" s="76" t="str">
        <f>IF(Table13[[#This Row],[Nilai Selisih]]&gt;100000,"Recommend","Revise")</f>
        <v>Recommend</v>
      </c>
      <c r="K432" s="17" t="s">
        <v>3</v>
      </c>
      <c r="L432" s="44" t="s">
        <v>1062</v>
      </c>
      <c r="M432" s="18" t="s">
        <v>3</v>
      </c>
    </row>
    <row r="433" spans="1:13" ht="14" customHeight="1" x14ac:dyDescent="0.3">
      <c r="A433" s="9">
        <v>1</v>
      </c>
      <c r="B433" s="9" t="s">
        <v>0</v>
      </c>
      <c r="C433" s="30" t="s">
        <v>1059</v>
      </c>
      <c r="D433" s="44" t="s">
        <v>1808</v>
      </c>
      <c r="E433" s="44" t="s">
        <v>1069</v>
      </c>
      <c r="F433" s="1" t="s">
        <v>1070</v>
      </c>
      <c r="G433" s="49">
        <v>850000</v>
      </c>
      <c r="H433" s="46">
        <v>790000</v>
      </c>
      <c r="I433" s="16">
        <f>Table13[[#This Row],[Publish Rate]]-Table13[[#This Row],[Offering Corporate Rate 2026]]</f>
        <v>60000</v>
      </c>
      <c r="J433" s="76" t="str">
        <f>IF(Table13[[#This Row],[Nilai Selisih]]&gt;100000,"Recommend","Revise")</f>
        <v>Revise</v>
      </c>
      <c r="K433" s="17" t="s">
        <v>3</v>
      </c>
      <c r="L433" s="44" t="s">
        <v>1062</v>
      </c>
      <c r="M433" s="18" t="s">
        <v>3</v>
      </c>
    </row>
    <row r="434" spans="1:13" ht="14" customHeight="1" x14ac:dyDescent="0.3">
      <c r="A434" s="9">
        <v>1</v>
      </c>
      <c r="B434" s="9" t="s">
        <v>0</v>
      </c>
      <c r="C434" s="30" t="s">
        <v>1059</v>
      </c>
      <c r="D434" s="44" t="s">
        <v>1808</v>
      </c>
      <c r="E434" s="44" t="s">
        <v>1071</v>
      </c>
      <c r="F434" s="1" t="s">
        <v>1072</v>
      </c>
      <c r="G434" s="49">
        <v>1020999</v>
      </c>
      <c r="H434" s="46">
        <v>828000</v>
      </c>
      <c r="I434" s="16">
        <f>Table13[[#This Row],[Publish Rate]]-Table13[[#This Row],[Offering Corporate Rate 2026]]</f>
        <v>192999</v>
      </c>
      <c r="J434" s="76" t="str">
        <f>IF(Table13[[#This Row],[Nilai Selisih]]&gt;100000,"Recommend","Revise")</f>
        <v>Recommend</v>
      </c>
      <c r="K434" s="17" t="s">
        <v>3</v>
      </c>
      <c r="L434" s="44" t="s">
        <v>1062</v>
      </c>
      <c r="M434" s="18" t="s">
        <v>3</v>
      </c>
    </row>
    <row r="435" spans="1:13" ht="14" customHeight="1" x14ac:dyDescent="0.3">
      <c r="A435" s="9">
        <v>1</v>
      </c>
      <c r="B435" s="9" t="s">
        <v>0</v>
      </c>
      <c r="C435" s="30" t="s">
        <v>1059</v>
      </c>
      <c r="D435" s="44" t="s">
        <v>1808</v>
      </c>
      <c r="E435" s="44" t="s">
        <v>1073</v>
      </c>
      <c r="F435" s="1" t="s">
        <v>1074</v>
      </c>
      <c r="G435" s="49">
        <v>735000</v>
      </c>
      <c r="H435" s="46">
        <v>630000</v>
      </c>
      <c r="I435" s="16">
        <f>Table13[[#This Row],[Publish Rate]]-Table13[[#This Row],[Offering Corporate Rate 2026]]</f>
        <v>105000</v>
      </c>
      <c r="J435" s="76" t="str">
        <f>IF(Table13[[#This Row],[Nilai Selisih]]&gt;100000,"Recommend","Revise")</f>
        <v>Recommend</v>
      </c>
      <c r="K435" s="17" t="s">
        <v>3</v>
      </c>
      <c r="L435" s="44" t="s">
        <v>1075</v>
      </c>
      <c r="M435" s="18" t="s">
        <v>3</v>
      </c>
    </row>
    <row r="436" spans="1:13" ht="14" customHeight="1" x14ac:dyDescent="0.3">
      <c r="A436" s="9">
        <v>1</v>
      </c>
      <c r="B436" s="9" t="s">
        <v>0</v>
      </c>
      <c r="C436" s="30" t="s">
        <v>1059</v>
      </c>
      <c r="D436" s="44" t="s">
        <v>1808</v>
      </c>
      <c r="E436" s="116" t="s">
        <v>1076</v>
      </c>
      <c r="F436" s="2" t="s">
        <v>1077</v>
      </c>
      <c r="G436" s="49">
        <v>710000</v>
      </c>
      <c r="H436" s="46">
        <v>680000</v>
      </c>
      <c r="I436" s="16">
        <f>Table13[[#This Row],[Publish Rate]]-Table13[[#This Row],[Offering Corporate Rate 2026]]</f>
        <v>30000</v>
      </c>
      <c r="J436" s="76" t="str">
        <f>IF(Table13[[#This Row],[Nilai Selisih]]&gt;100000,"Recommend","Revise")</f>
        <v>Revise</v>
      </c>
      <c r="K436" s="17" t="s">
        <v>3</v>
      </c>
      <c r="L436" s="44" t="s">
        <v>1062</v>
      </c>
      <c r="M436" s="18" t="s">
        <v>3</v>
      </c>
    </row>
    <row r="437" spans="1:13" ht="14" customHeight="1" x14ac:dyDescent="0.3">
      <c r="A437" s="9">
        <v>1</v>
      </c>
      <c r="B437" s="9" t="s">
        <v>0</v>
      </c>
      <c r="C437" s="30" t="s">
        <v>1059</v>
      </c>
      <c r="D437" s="44" t="s">
        <v>1808</v>
      </c>
      <c r="E437" s="117" t="s">
        <v>1078</v>
      </c>
      <c r="F437" s="2" t="s">
        <v>1079</v>
      </c>
      <c r="G437" s="49">
        <v>529999</v>
      </c>
      <c r="H437" s="46">
        <v>480000</v>
      </c>
      <c r="I437" s="16">
        <f>Table13[[#This Row],[Publish Rate]]-Table13[[#This Row],[Offering Corporate Rate 2026]]</f>
        <v>49999</v>
      </c>
      <c r="J437" s="76" t="str">
        <f>IF(Table13[[#This Row],[Nilai Selisih]]&gt;100000,"Recommend","Revise")</f>
        <v>Revise</v>
      </c>
      <c r="K437" s="17" t="s">
        <v>3</v>
      </c>
      <c r="L437" s="44" t="s">
        <v>1080</v>
      </c>
      <c r="M437" s="18" t="s">
        <v>3</v>
      </c>
    </row>
    <row r="438" spans="1:13" ht="14" customHeight="1" x14ac:dyDescent="0.3">
      <c r="A438" s="9">
        <v>1</v>
      </c>
      <c r="B438" s="9" t="s">
        <v>0</v>
      </c>
      <c r="C438" s="30" t="s">
        <v>1059</v>
      </c>
      <c r="D438" s="118" t="s">
        <v>1808</v>
      </c>
      <c r="E438" s="70" t="s">
        <v>1081</v>
      </c>
      <c r="F438" s="2" t="s">
        <v>1082</v>
      </c>
      <c r="G438" s="49">
        <v>794000</v>
      </c>
      <c r="H438" s="46">
        <v>714000</v>
      </c>
      <c r="I438" s="16">
        <f>Table13[[#This Row],[Publish Rate]]-Table13[[#This Row],[Offering Corporate Rate 2026]]</f>
        <v>80000</v>
      </c>
      <c r="J438" s="76" t="str">
        <f>IF(Table13[[#This Row],[Nilai Selisih]]&gt;100000,"Recommend","Revise")</f>
        <v>Revise</v>
      </c>
      <c r="K438" s="17" t="s">
        <v>3</v>
      </c>
      <c r="L438" s="44" t="s">
        <v>1083</v>
      </c>
      <c r="M438" s="18" t="s">
        <v>3</v>
      </c>
    </row>
    <row r="439" spans="1:13" ht="14" customHeight="1" x14ac:dyDescent="0.3">
      <c r="A439" s="9">
        <v>1</v>
      </c>
      <c r="B439" s="9" t="s">
        <v>0</v>
      </c>
      <c r="C439" s="30" t="s">
        <v>1059</v>
      </c>
      <c r="D439" s="44" t="s">
        <v>1808</v>
      </c>
      <c r="E439" s="116" t="s">
        <v>1084</v>
      </c>
      <c r="F439" s="2" t="s">
        <v>1085</v>
      </c>
      <c r="G439" s="49">
        <v>894000</v>
      </c>
      <c r="H439" s="46">
        <v>700000</v>
      </c>
      <c r="I439" s="16">
        <f>Table13[[#This Row],[Publish Rate]]-Table13[[#This Row],[Offering Corporate Rate 2026]]</f>
        <v>194000</v>
      </c>
      <c r="J439" s="76" t="str">
        <f>IF(Table13[[#This Row],[Nilai Selisih]]&gt;100000,"Recommend","Revise")</f>
        <v>Recommend</v>
      </c>
      <c r="K439" s="17" t="s">
        <v>3</v>
      </c>
      <c r="L439" s="44" t="s">
        <v>1062</v>
      </c>
      <c r="M439" s="18" t="s">
        <v>3</v>
      </c>
    </row>
    <row r="440" spans="1:13" ht="14" customHeight="1" x14ac:dyDescent="0.3">
      <c r="A440" s="9">
        <v>1</v>
      </c>
      <c r="B440" s="9" t="s">
        <v>0</v>
      </c>
      <c r="C440" s="30" t="s">
        <v>1059</v>
      </c>
      <c r="D440" s="68" t="s">
        <v>1008</v>
      </c>
      <c r="E440" s="116" t="s">
        <v>1086</v>
      </c>
      <c r="F440" s="2" t="s">
        <v>1087</v>
      </c>
      <c r="G440" s="49">
        <v>710000</v>
      </c>
      <c r="H440" s="46">
        <v>510000</v>
      </c>
      <c r="I440" s="16">
        <f>Table13[[#This Row],[Publish Rate]]-Table13[[#This Row],[Offering Corporate Rate 2026]]</f>
        <v>200000</v>
      </c>
      <c r="J440" s="76" t="str">
        <f>IF(Table13[[#This Row],[Nilai Selisih]]&gt;100000,"Recommend","Revise")</f>
        <v>Recommend</v>
      </c>
      <c r="K440" s="17" t="s">
        <v>3</v>
      </c>
      <c r="L440" s="44" t="s">
        <v>1088</v>
      </c>
      <c r="M440" s="18" t="s">
        <v>3</v>
      </c>
    </row>
    <row r="441" spans="1:13" ht="14" customHeight="1" x14ac:dyDescent="0.3">
      <c r="A441" s="9">
        <v>1</v>
      </c>
      <c r="B441" s="9" t="s">
        <v>0</v>
      </c>
      <c r="C441" s="30" t="s">
        <v>1059</v>
      </c>
      <c r="D441" s="68" t="s">
        <v>1008</v>
      </c>
      <c r="E441" s="116" t="s">
        <v>1089</v>
      </c>
      <c r="F441" s="2" t="s">
        <v>1090</v>
      </c>
      <c r="G441" s="49">
        <v>990000</v>
      </c>
      <c r="H441" s="46">
        <v>795000</v>
      </c>
      <c r="I441" s="16">
        <f>Table13[[#This Row],[Publish Rate]]-Table13[[#This Row],[Offering Corporate Rate 2026]]</f>
        <v>195000</v>
      </c>
      <c r="J441" s="76" t="str">
        <f>IF(Table13[[#This Row],[Nilai Selisih]]&gt;100000,"Recommend","Revise")</f>
        <v>Recommend</v>
      </c>
      <c r="K441" s="17" t="s">
        <v>3</v>
      </c>
      <c r="L441" s="44" t="s">
        <v>1062</v>
      </c>
      <c r="M441" s="18" t="s">
        <v>3</v>
      </c>
    </row>
    <row r="442" spans="1:13" ht="14" customHeight="1" x14ac:dyDescent="0.3">
      <c r="A442" s="9">
        <v>1</v>
      </c>
      <c r="B442" s="9" t="s">
        <v>0</v>
      </c>
      <c r="C442" s="30" t="s">
        <v>1059</v>
      </c>
      <c r="D442" s="44" t="s">
        <v>1008</v>
      </c>
      <c r="E442" s="116" t="s">
        <v>1091</v>
      </c>
      <c r="F442" s="2" t="s">
        <v>1092</v>
      </c>
      <c r="G442" s="49">
        <v>760000</v>
      </c>
      <c r="H442" s="46">
        <v>706800</v>
      </c>
      <c r="I442" s="16">
        <f>Table13[[#This Row],[Publish Rate]]-Table13[[#This Row],[Offering Corporate Rate 2026]]</f>
        <v>53200</v>
      </c>
      <c r="J442" s="76" t="str">
        <f>IF(Table13[[#This Row],[Nilai Selisih]]&gt;100000,"Recommend","Revise")</f>
        <v>Revise</v>
      </c>
      <c r="K442" s="17" t="s">
        <v>3</v>
      </c>
      <c r="L442" s="44" t="s">
        <v>1062</v>
      </c>
      <c r="M442" s="18" t="s">
        <v>3</v>
      </c>
    </row>
    <row r="443" spans="1:13" ht="14" customHeight="1" x14ac:dyDescent="0.3">
      <c r="A443" s="9">
        <v>1</v>
      </c>
      <c r="B443" s="9" t="s">
        <v>0</v>
      </c>
      <c r="C443" s="30" t="s">
        <v>1059</v>
      </c>
      <c r="D443" s="44" t="s">
        <v>1008</v>
      </c>
      <c r="E443" s="119" t="s">
        <v>1093</v>
      </c>
      <c r="F443" s="1" t="s">
        <v>1094</v>
      </c>
      <c r="G443" s="49">
        <v>894000</v>
      </c>
      <c r="H443" s="46">
        <v>664000</v>
      </c>
      <c r="I443" s="16">
        <f>Table13[[#This Row],[Publish Rate]]-Table13[[#This Row],[Offering Corporate Rate 2026]]</f>
        <v>230000</v>
      </c>
      <c r="J443" s="76" t="str">
        <f>IF(Table13[[#This Row],[Nilai Selisih]]&gt;100000,"Recommend","Revise")</f>
        <v>Recommend</v>
      </c>
      <c r="K443" s="17" t="s">
        <v>3</v>
      </c>
      <c r="L443" s="44" t="s">
        <v>1095</v>
      </c>
      <c r="M443" s="18" t="s">
        <v>3</v>
      </c>
    </row>
    <row r="444" spans="1:13" ht="14" customHeight="1" x14ac:dyDescent="0.3">
      <c r="A444" s="9">
        <v>1</v>
      </c>
      <c r="B444" s="9" t="s">
        <v>0</v>
      </c>
      <c r="C444" s="30" t="s">
        <v>1059</v>
      </c>
      <c r="D444" s="44" t="s">
        <v>1008</v>
      </c>
      <c r="E444" s="119" t="s">
        <v>1096</v>
      </c>
      <c r="F444" s="1" t="s">
        <v>1097</v>
      </c>
      <c r="G444" s="49">
        <v>737000</v>
      </c>
      <c r="H444" s="46">
        <v>570000</v>
      </c>
      <c r="I444" s="16">
        <f>Table13[[#This Row],[Publish Rate]]-Table13[[#This Row],[Offering Corporate Rate 2026]]</f>
        <v>167000</v>
      </c>
      <c r="J444" s="76" t="str">
        <f>IF(Table13[[#This Row],[Nilai Selisih]]&gt;100000,"Recommend","Revise")</f>
        <v>Recommend</v>
      </c>
      <c r="K444" s="17" t="s">
        <v>3</v>
      </c>
      <c r="L444" s="44" t="s">
        <v>1080</v>
      </c>
      <c r="M444" s="18" t="s">
        <v>3</v>
      </c>
    </row>
    <row r="445" spans="1:13" ht="14" customHeight="1" x14ac:dyDescent="0.3">
      <c r="A445" s="9">
        <v>1</v>
      </c>
      <c r="B445" s="9" t="s">
        <v>0</v>
      </c>
      <c r="C445" s="30" t="s">
        <v>1059</v>
      </c>
      <c r="D445" s="44" t="s">
        <v>724</v>
      </c>
      <c r="E445" s="119" t="s">
        <v>1098</v>
      </c>
      <c r="F445" s="1" t="s">
        <v>1099</v>
      </c>
      <c r="G445" s="49">
        <v>594999</v>
      </c>
      <c r="H445" s="46">
        <v>434140</v>
      </c>
      <c r="I445" s="16">
        <f>Table13[[#This Row],[Publish Rate]]-Table13[[#This Row],[Offering Corporate Rate 2026]]</f>
        <v>160859</v>
      </c>
      <c r="J445" s="76" t="str">
        <f>IF(Table13[[#This Row],[Nilai Selisih]]&gt;100000,"Recommend","Revise")</f>
        <v>Recommend</v>
      </c>
      <c r="K445" s="17" t="s">
        <v>3</v>
      </c>
      <c r="L445" s="44" t="s">
        <v>1075</v>
      </c>
      <c r="M445" s="18" t="s">
        <v>3</v>
      </c>
    </row>
    <row r="446" spans="1:13" ht="14" customHeight="1" thickBot="1" x14ac:dyDescent="0.35">
      <c r="A446" s="9">
        <v>1</v>
      </c>
      <c r="B446" s="9" t="s">
        <v>0</v>
      </c>
      <c r="C446" s="30" t="s">
        <v>1059</v>
      </c>
      <c r="D446" s="44" t="s">
        <v>724</v>
      </c>
      <c r="E446" s="119" t="s">
        <v>1100</v>
      </c>
      <c r="F446" s="120" t="s">
        <v>1101</v>
      </c>
      <c r="G446" s="49">
        <v>518999</v>
      </c>
      <c r="H446" s="46">
        <v>484000</v>
      </c>
      <c r="I446" s="16">
        <f>Table13[[#This Row],[Publish Rate]]-Table13[[#This Row],[Offering Corporate Rate 2026]]</f>
        <v>34999</v>
      </c>
      <c r="J446" s="76" t="str">
        <f>IF(Table13[[#This Row],[Nilai Selisih]]&gt;100000,"Recommend","Revise")</f>
        <v>Revise</v>
      </c>
      <c r="K446" s="17" t="s">
        <v>3</v>
      </c>
      <c r="L446" s="44" t="s">
        <v>1062</v>
      </c>
      <c r="M446" s="18" t="s">
        <v>3</v>
      </c>
    </row>
    <row r="447" spans="1:13" ht="14" customHeight="1" thickTop="1" x14ac:dyDescent="0.3">
      <c r="A447" s="9">
        <v>1</v>
      </c>
      <c r="B447" s="9" t="s">
        <v>0</v>
      </c>
      <c r="C447" s="30" t="s">
        <v>1059</v>
      </c>
      <c r="D447" s="44" t="s">
        <v>724</v>
      </c>
      <c r="E447" s="119" t="s">
        <v>1102</v>
      </c>
      <c r="F447" s="1" t="s">
        <v>1103</v>
      </c>
      <c r="G447" s="49">
        <v>897750</v>
      </c>
      <c r="H447" s="46">
        <v>650000</v>
      </c>
      <c r="I447" s="16">
        <f>Table13[[#This Row],[Publish Rate]]-Table13[[#This Row],[Offering Corporate Rate 2026]]</f>
        <v>247750</v>
      </c>
      <c r="J447" s="76" t="str">
        <f>IF(Table13[[#This Row],[Nilai Selisih]]&gt;100000,"Recommend","Revise")</f>
        <v>Recommend</v>
      </c>
      <c r="K447" s="17" t="s">
        <v>3</v>
      </c>
      <c r="L447" s="44" t="s">
        <v>1840</v>
      </c>
      <c r="M447" s="18" t="s">
        <v>3</v>
      </c>
    </row>
    <row r="448" spans="1:13" ht="14" customHeight="1" x14ac:dyDescent="0.3">
      <c r="A448" s="9">
        <v>1</v>
      </c>
      <c r="B448" s="9" t="s">
        <v>0</v>
      </c>
      <c r="C448" s="30" t="s">
        <v>1059</v>
      </c>
      <c r="D448" s="44" t="s">
        <v>724</v>
      </c>
      <c r="E448" s="119" t="s">
        <v>1104</v>
      </c>
      <c r="F448" s="1" t="s">
        <v>1105</v>
      </c>
      <c r="G448" s="49">
        <v>879999</v>
      </c>
      <c r="H448" s="46">
        <v>750000</v>
      </c>
      <c r="I448" s="16">
        <f>Table13[[#This Row],[Publish Rate]]-Table13[[#This Row],[Offering Corporate Rate 2026]]</f>
        <v>129999</v>
      </c>
      <c r="J448" s="76" t="str">
        <f>IF(Table13[[#This Row],[Nilai Selisih]]&gt;100000,"Recommend","Revise")</f>
        <v>Recommend</v>
      </c>
      <c r="K448" s="17" t="s">
        <v>3</v>
      </c>
      <c r="L448" s="44" t="s">
        <v>1106</v>
      </c>
      <c r="M448" s="18" t="s">
        <v>3</v>
      </c>
    </row>
    <row r="449" spans="1:13" ht="14" customHeight="1" x14ac:dyDescent="0.3">
      <c r="A449" s="9">
        <v>1</v>
      </c>
      <c r="B449" s="9" t="s">
        <v>0</v>
      </c>
      <c r="C449" s="30" t="s">
        <v>1059</v>
      </c>
      <c r="D449" s="44" t="s">
        <v>724</v>
      </c>
      <c r="E449" s="119" t="s">
        <v>1107</v>
      </c>
      <c r="F449" s="1" t="s">
        <v>1108</v>
      </c>
      <c r="G449" s="49">
        <v>979000</v>
      </c>
      <c r="H449" s="46">
        <v>755000</v>
      </c>
      <c r="I449" s="16">
        <f>Table13[[#This Row],[Publish Rate]]-Table13[[#This Row],[Offering Corporate Rate 2026]]</f>
        <v>224000</v>
      </c>
      <c r="J449" s="76" t="str">
        <f>IF(Table13[[#This Row],[Nilai Selisih]]&gt;100000,"Recommend","Revise")</f>
        <v>Recommend</v>
      </c>
      <c r="K449" s="17" t="s">
        <v>3</v>
      </c>
      <c r="L449" s="44" t="s">
        <v>1075</v>
      </c>
      <c r="M449" s="18" t="s">
        <v>3</v>
      </c>
    </row>
    <row r="450" spans="1:13" ht="14" customHeight="1" x14ac:dyDescent="0.3">
      <c r="A450" s="9">
        <v>1</v>
      </c>
      <c r="B450" s="9" t="s">
        <v>0</v>
      </c>
      <c r="C450" s="30" t="s">
        <v>1059</v>
      </c>
      <c r="D450" s="44" t="s">
        <v>724</v>
      </c>
      <c r="E450" s="119" t="s">
        <v>1109</v>
      </c>
      <c r="F450" s="1" t="s">
        <v>1110</v>
      </c>
      <c r="G450" s="49">
        <v>710000</v>
      </c>
      <c r="H450" s="46">
        <v>616000</v>
      </c>
      <c r="I450" s="16">
        <f>Table13[[#This Row],[Publish Rate]]-Table13[[#This Row],[Offering Corporate Rate 2026]]</f>
        <v>94000</v>
      </c>
      <c r="J450" s="76" t="str">
        <f>IF(Table13[[#This Row],[Nilai Selisih]]&gt;100000,"Recommend","Revise")</f>
        <v>Revise</v>
      </c>
      <c r="K450" s="17" t="s">
        <v>3</v>
      </c>
      <c r="L450" s="44" t="s">
        <v>1075</v>
      </c>
      <c r="M450" s="18" t="s">
        <v>3</v>
      </c>
    </row>
    <row r="451" spans="1:13" ht="14" customHeight="1" x14ac:dyDescent="0.3">
      <c r="A451" s="9">
        <v>1</v>
      </c>
      <c r="B451" s="9" t="s">
        <v>0</v>
      </c>
      <c r="C451" s="30" t="s">
        <v>1059</v>
      </c>
      <c r="D451" s="44" t="s">
        <v>724</v>
      </c>
      <c r="E451" s="119" t="s">
        <v>1111</v>
      </c>
      <c r="F451" s="1" t="s">
        <v>1112</v>
      </c>
      <c r="G451" s="49">
        <v>1024999</v>
      </c>
      <c r="H451" s="46">
        <v>995000</v>
      </c>
      <c r="I451" s="16">
        <f>Table13[[#This Row],[Publish Rate]]-Table13[[#This Row],[Offering Corporate Rate 2026]]</f>
        <v>29999</v>
      </c>
      <c r="J451" s="76" t="str">
        <f>IF(Table13[[#This Row],[Nilai Selisih]]&gt;100000,"Recommend","Revise")</f>
        <v>Revise</v>
      </c>
      <c r="K451" s="17" t="s">
        <v>3</v>
      </c>
      <c r="L451" s="44" t="s">
        <v>1113</v>
      </c>
      <c r="M451" s="18" t="s">
        <v>3</v>
      </c>
    </row>
    <row r="452" spans="1:13" ht="14" customHeight="1" thickBot="1" x14ac:dyDescent="0.35">
      <c r="A452" s="9">
        <v>1</v>
      </c>
      <c r="B452" s="9" t="s">
        <v>0</v>
      </c>
      <c r="C452" s="30" t="s">
        <v>1059</v>
      </c>
      <c r="D452" s="44" t="s">
        <v>724</v>
      </c>
      <c r="E452" s="119" t="s">
        <v>1114</v>
      </c>
      <c r="F452" s="120" t="s">
        <v>1115</v>
      </c>
      <c r="G452" s="49">
        <v>500000</v>
      </c>
      <c r="H452" s="46">
        <v>480000</v>
      </c>
      <c r="I452" s="16">
        <f>Table13[[#This Row],[Publish Rate]]-Table13[[#This Row],[Offering Corporate Rate 2026]]</f>
        <v>20000</v>
      </c>
      <c r="J452" s="76" t="str">
        <f>IF(Table13[[#This Row],[Nilai Selisih]]&gt;100000,"Recommend","Revise")</f>
        <v>Revise</v>
      </c>
      <c r="K452" s="17" t="s">
        <v>3</v>
      </c>
      <c r="L452" s="44" t="s">
        <v>1116</v>
      </c>
      <c r="M452" s="18" t="s">
        <v>3</v>
      </c>
    </row>
    <row r="453" spans="1:13" ht="14" customHeight="1" thickTop="1" thickBot="1" x14ac:dyDescent="0.35">
      <c r="A453" s="9">
        <v>1</v>
      </c>
      <c r="B453" s="9" t="s">
        <v>0</v>
      </c>
      <c r="C453" s="30" t="s">
        <v>1059</v>
      </c>
      <c r="D453" s="44" t="s">
        <v>724</v>
      </c>
      <c r="E453" s="119" t="s">
        <v>1117</v>
      </c>
      <c r="F453" s="120" t="s">
        <v>1118</v>
      </c>
      <c r="G453" s="49">
        <v>1609000</v>
      </c>
      <c r="H453" s="46">
        <v>1233000</v>
      </c>
      <c r="I453" s="16">
        <f>Table13[[#This Row],[Publish Rate]]-Table13[[#This Row],[Offering Corporate Rate 2026]]</f>
        <v>376000</v>
      </c>
      <c r="J453" s="76" t="str">
        <f>IF(Table13[[#This Row],[Nilai Selisih]]&gt;100000,"Recommend","Revise")</f>
        <v>Recommend</v>
      </c>
      <c r="K453" s="17" t="s">
        <v>3</v>
      </c>
      <c r="L453" s="48" t="s">
        <v>1119</v>
      </c>
      <c r="M453" s="18" t="s">
        <v>3</v>
      </c>
    </row>
    <row r="454" spans="1:13" ht="14" customHeight="1" thickTop="1" x14ac:dyDescent="0.3">
      <c r="A454" s="9">
        <v>1</v>
      </c>
      <c r="B454" s="9" t="s">
        <v>0</v>
      </c>
      <c r="C454" s="30" t="s">
        <v>1059</v>
      </c>
      <c r="D454" s="44" t="s">
        <v>724</v>
      </c>
      <c r="E454" s="119" t="s">
        <v>1120</v>
      </c>
      <c r="F454" s="1" t="s">
        <v>1121</v>
      </c>
      <c r="G454" s="49">
        <v>578000</v>
      </c>
      <c r="H454" s="46">
        <v>488000</v>
      </c>
      <c r="I454" s="16">
        <f>Table13[[#This Row],[Publish Rate]]-Table13[[#This Row],[Offering Corporate Rate 2026]]</f>
        <v>90000</v>
      </c>
      <c r="J454" s="76" t="str">
        <f>IF(Table13[[#This Row],[Nilai Selisih]]&gt;100000,"Recommend","Revise")</f>
        <v>Revise</v>
      </c>
      <c r="K454" s="17" t="s">
        <v>3</v>
      </c>
      <c r="L454" s="44" t="s">
        <v>1122</v>
      </c>
      <c r="M454" s="18" t="s">
        <v>3</v>
      </c>
    </row>
    <row r="455" spans="1:13" ht="14" customHeight="1" x14ac:dyDescent="0.3">
      <c r="A455" s="9">
        <v>1</v>
      </c>
      <c r="B455" s="9" t="s">
        <v>0</v>
      </c>
      <c r="C455" s="30" t="s">
        <v>1059</v>
      </c>
      <c r="D455" s="44" t="s">
        <v>724</v>
      </c>
      <c r="E455" s="119" t="s">
        <v>1123</v>
      </c>
      <c r="F455" s="1" t="s">
        <v>1124</v>
      </c>
      <c r="G455" s="49">
        <v>910000</v>
      </c>
      <c r="H455" s="46">
        <v>720000</v>
      </c>
      <c r="I455" s="16">
        <f>Table13[[#This Row],[Publish Rate]]-Table13[[#This Row],[Offering Corporate Rate 2026]]</f>
        <v>190000</v>
      </c>
      <c r="J455" s="76" t="str">
        <f>IF(Table13[[#This Row],[Nilai Selisih]]&gt;100000,"Recommend","Revise")</f>
        <v>Recommend</v>
      </c>
      <c r="K455" s="17" t="s">
        <v>3</v>
      </c>
      <c r="L455" s="44" t="s">
        <v>1125</v>
      </c>
      <c r="M455" s="18" t="s">
        <v>3</v>
      </c>
    </row>
    <row r="456" spans="1:13" ht="14" customHeight="1" x14ac:dyDescent="0.3">
      <c r="A456" s="9">
        <v>1</v>
      </c>
      <c r="B456" s="9" t="s">
        <v>0</v>
      </c>
      <c r="C456" s="30" t="s">
        <v>1059</v>
      </c>
      <c r="D456" s="44" t="s">
        <v>1269</v>
      </c>
      <c r="E456" s="119" t="s">
        <v>1126</v>
      </c>
      <c r="F456" s="1" t="s">
        <v>1127</v>
      </c>
      <c r="G456" s="49">
        <v>939999</v>
      </c>
      <c r="H456" s="46">
        <v>830000</v>
      </c>
      <c r="I456" s="16">
        <f>Table13[[#This Row],[Publish Rate]]-Table13[[#This Row],[Offering Corporate Rate 2026]]</f>
        <v>109999</v>
      </c>
      <c r="J456" s="76" t="str">
        <f>IF(Table13[[#This Row],[Nilai Selisih]]&gt;100000,"Recommend","Revise")</f>
        <v>Recommend</v>
      </c>
      <c r="K456" s="17" t="s">
        <v>3</v>
      </c>
      <c r="L456" s="44" t="s">
        <v>1113</v>
      </c>
      <c r="M456" s="18" t="s">
        <v>3</v>
      </c>
    </row>
    <row r="457" spans="1:13" ht="14" customHeight="1" x14ac:dyDescent="0.3">
      <c r="A457" s="9">
        <v>1</v>
      </c>
      <c r="B457" s="9" t="s">
        <v>0</v>
      </c>
      <c r="C457" s="30" t="s">
        <v>1059</v>
      </c>
      <c r="D457" s="44" t="s">
        <v>1811</v>
      </c>
      <c r="E457" s="119" t="s">
        <v>1128</v>
      </c>
      <c r="F457" s="1" t="s">
        <v>1129</v>
      </c>
      <c r="G457" s="49">
        <v>850000</v>
      </c>
      <c r="H457" s="46">
        <v>740000</v>
      </c>
      <c r="I457" s="16">
        <f>Table13[[#This Row],[Publish Rate]]-Table13[[#This Row],[Offering Corporate Rate 2026]]</f>
        <v>110000</v>
      </c>
      <c r="J457" s="76" t="str">
        <f>IF(Table13[[#This Row],[Nilai Selisih]]&gt;100000,"Recommend","Revise")</f>
        <v>Recommend</v>
      </c>
      <c r="K457" s="17" t="s">
        <v>3</v>
      </c>
      <c r="L457" s="44" t="s">
        <v>1113</v>
      </c>
      <c r="M457" s="18" t="s">
        <v>3</v>
      </c>
    </row>
    <row r="458" spans="1:13" ht="14" customHeight="1" x14ac:dyDescent="0.3">
      <c r="A458" s="9">
        <v>1</v>
      </c>
      <c r="B458" s="9" t="s">
        <v>0</v>
      </c>
      <c r="C458" s="30" t="s">
        <v>1059</v>
      </c>
      <c r="D458" s="44" t="s">
        <v>1811</v>
      </c>
      <c r="E458" s="119" t="s">
        <v>1130</v>
      </c>
      <c r="F458" s="1" t="s">
        <v>1131</v>
      </c>
      <c r="G458" s="49">
        <v>1100000</v>
      </c>
      <c r="H458" s="46">
        <v>970000</v>
      </c>
      <c r="I458" s="16">
        <f>Table13[[#This Row],[Publish Rate]]-Table13[[#This Row],[Offering Corporate Rate 2026]]</f>
        <v>130000</v>
      </c>
      <c r="J458" s="76" t="str">
        <f>IF(Table13[[#This Row],[Nilai Selisih]]&gt;100000,"Recommend","Revise")</f>
        <v>Recommend</v>
      </c>
      <c r="K458" s="17" t="s">
        <v>3</v>
      </c>
      <c r="L458" s="44" t="s">
        <v>1113</v>
      </c>
      <c r="M458" s="18" t="s">
        <v>3</v>
      </c>
    </row>
    <row r="459" spans="1:13" ht="14" customHeight="1" x14ac:dyDescent="0.3">
      <c r="A459" s="9">
        <v>1</v>
      </c>
      <c r="B459" s="9" t="s">
        <v>0</v>
      </c>
      <c r="C459" s="30" t="s">
        <v>1059</v>
      </c>
      <c r="D459" s="44" t="s">
        <v>1811</v>
      </c>
      <c r="E459" s="119" t="s">
        <v>1132</v>
      </c>
      <c r="F459" s="1" t="s">
        <v>1133</v>
      </c>
      <c r="G459" s="49">
        <v>629000</v>
      </c>
      <c r="H459" s="46">
        <v>450000</v>
      </c>
      <c r="I459" s="16">
        <f>Table13[[#This Row],[Publish Rate]]-Table13[[#This Row],[Offering Corporate Rate 2026]]</f>
        <v>179000</v>
      </c>
      <c r="J459" s="76" t="str">
        <f>IF(Table13[[#This Row],[Nilai Selisih]]&gt;100000,"Recommend","Revise")</f>
        <v>Recommend</v>
      </c>
      <c r="K459" s="17" t="s">
        <v>3</v>
      </c>
      <c r="L459" s="44" t="s">
        <v>1134</v>
      </c>
      <c r="M459" s="18" t="s">
        <v>3</v>
      </c>
    </row>
    <row r="460" spans="1:13" ht="14" customHeight="1" x14ac:dyDescent="0.3">
      <c r="A460" s="9">
        <v>1</v>
      </c>
      <c r="B460" s="9" t="s">
        <v>0</v>
      </c>
      <c r="C460" s="30" t="s">
        <v>1059</v>
      </c>
      <c r="D460" s="44" t="s">
        <v>1269</v>
      </c>
      <c r="E460" s="119" t="s">
        <v>1135</v>
      </c>
      <c r="F460" s="1" t="s">
        <v>1136</v>
      </c>
      <c r="G460" s="49">
        <v>1020000</v>
      </c>
      <c r="H460" s="46">
        <v>900000</v>
      </c>
      <c r="I460" s="16">
        <f>Table13[[#This Row],[Publish Rate]]-Table13[[#This Row],[Offering Corporate Rate 2026]]</f>
        <v>120000</v>
      </c>
      <c r="J460" s="76" t="str">
        <f>IF(Table13[[#This Row],[Nilai Selisih]]&gt;100000,"Recommend","Revise")</f>
        <v>Recommend</v>
      </c>
      <c r="K460" s="17" t="s">
        <v>3</v>
      </c>
      <c r="L460" s="44" t="s">
        <v>1113</v>
      </c>
      <c r="M460" s="18" t="s">
        <v>3</v>
      </c>
    </row>
    <row r="461" spans="1:13" ht="14" customHeight="1" x14ac:dyDescent="0.3">
      <c r="A461" s="9">
        <v>1</v>
      </c>
      <c r="B461" s="9" t="s">
        <v>0</v>
      </c>
      <c r="C461" s="30" t="s">
        <v>1059</v>
      </c>
      <c r="D461" s="44" t="s">
        <v>1269</v>
      </c>
      <c r="E461" s="119" t="s">
        <v>1137</v>
      </c>
      <c r="F461" s="1" t="s">
        <v>1138</v>
      </c>
      <c r="G461" s="49">
        <v>345000</v>
      </c>
      <c r="H461" s="46">
        <v>450000</v>
      </c>
      <c r="I461" s="16">
        <f>Table13[[#This Row],[Publish Rate]]-Table13[[#This Row],[Offering Corporate Rate 2026]]</f>
        <v>-105000</v>
      </c>
      <c r="J461" s="76" t="str">
        <f>IF(Table13[[#This Row],[Nilai Selisih]]&gt;100000,"Recommend","Revise")</f>
        <v>Revise</v>
      </c>
      <c r="K461" s="17" t="s">
        <v>3</v>
      </c>
      <c r="L461" s="44" t="s">
        <v>1139</v>
      </c>
      <c r="M461" s="18" t="s">
        <v>3</v>
      </c>
    </row>
    <row r="462" spans="1:13" ht="14" customHeight="1" x14ac:dyDescent="0.3">
      <c r="A462" s="9">
        <v>1</v>
      </c>
      <c r="B462" s="9" t="s">
        <v>0</v>
      </c>
      <c r="C462" s="30" t="s">
        <v>1059</v>
      </c>
      <c r="D462" s="44" t="s">
        <v>1268</v>
      </c>
      <c r="E462" s="119" t="s">
        <v>1140</v>
      </c>
      <c r="F462" s="1" t="s">
        <v>1141</v>
      </c>
      <c r="G462" s="49">
        <v>1609999</v>
      </c>
      <c r="H462" s="46">
        <v>1200000</v>
      </c>
      <c r="I462" s="16">
        <f>Table13[[#This Row],[Publish Rate]]-Table13[[#This Row],[Offering Corporate Rate 2026]]</f>
        <v>409999</v>
      </c>
      <c r="J462" s="76" t="str">
        <f>IF(Table13[[#This Row],[Nilai Selisih]]&gt;100000,"Recommend","Revise")</f>
        <v>Recommend</v>
      </c>
      <c r="K462" s="17" t="s">
        <v>3</v>
      </c>
      <c r="L462" s="119" t="s">
        <v>1113</v>
      </c>
      <c r="M462" s="18" t="s">
        <v>3</v>
      </c>
    </row>
    <row r="463" spans="1:13" ht="14" customHeight="1" x14ac:dyDescent="0.3">
      <c r="A463" s="9">
        <v>1</v>
      </c>
      <c r="B463" s="9" t="s">
        <v>0</v>
      </c>
      <c r="C463" s="30" t="s">
        <v>1059</v>
      </c>
      <c r="D463" s="44" t="s">
        <v>1268</v>
      </c>
      <c r="E463" s="119" t="s">
        <v>1142</v>
      </c>
      <c r="F463" s="1" t="s">
        <v>1143</v>
      </c>
      <c r="G463" s="49">
        <v>1343999</v>
      </c>
      <c r="H463" s="46">
        <v>930000</v>
      </c>
      <c r="I463" s="16">
        <f>Table13[[#This Row],[Publish Rate]]-Table13[[#This Row],[Offering Corporate Rate 2026]]</f>
        <v>413999</v>
      </c>
      <c r="J463" s="76" t="str">
        <f>IF(Table13[[#This Row],[Nilai Selisih]]&gt;100000,"Recommend","Revise")</f>
        <v>Recommend</v>
      </c>
      <c r="K463" s="17" t="s">
        <v>3</v>
      </c>
      <c r="L463" s="119" t="s">
        <v>1113</v>
      </c>
      <c r="M463" s="18" t="s">
        <v>3</v>
      </c>
    </row>
    <row r="464" spans="1:13" ht="14" customHeight="1" x14ac:dyDescent="0.3">
      <c r="A464" s="9">
        <v>1</v>
      </c>
      <c r="B464" s="9" t="s">
        <v>0</v>
      </c>
      <c r="C464" s="30" t="s">
        <v>1059</v>
      </c>
      <c r="D464" s="44" t="s">
        <v>1268</v>
      </c>
      <c r="E464" s="119" t="s">
        <v>1144</v>
      </c>
      <c r="F464" s="1" t="s">
        <v>1145</v>
      </c>
      <c r="G464" s="49">
        <v>785000</v>
      </c>
      <c r="H464" s="46">
        <v>650000</v>
      </c>
      <c r="I464" s="16">
        <f>Table13[[#This Row],[Publish Rate]]-Table13[[#This Row],[Offering Corporate Rate 2026]]</f>
        <v>135000</v>
      </c>
      <c r="J464" s="76" t="str">
        <f>IF(Table13[[#This Row],[Nilai Selisih]]&gt;100000,"Recommend","Revise")</f>
        <v>Recommend</v>
      </c>
      <c r="K464" s="17" t="s">
        <v>3</v>
      </c>
      <c r="L464" s="119" t="s">
        <v>1113</v>
      </c>
      <c r="M464" s="18" t="s">
        <v>3</v>
      </c>
    </row>
    <row r="465" spans="1:13" ht="14" customHeight="1" x14ac:dyDescent="0.3">
      <c r="A465" s="9">
        <v>1</v>
      </c>
      <c r="B465" s="9" t="s">
        <v>0</v>
      </c>
      <c r="C465" s="30" t="s">
        <v>1059</v>
      </c>
      <c r="D465" s="44" t="s">
        <v>1268</v>
      </c>
      <c r="E465" s="119" t="s">
        <v>1146</v>
      </c>
      <c r="F465" s="1" t="s">
        <v>1147</v>
      </c>
      <c r="G465" s="49">
        <v>899000</v>
      </c>
      <c r="H465" s="46">
        <v>700000</v>
      </c>
      <c r="I465" s="16">
        <f>Table13[[#This Row],[Publish Rate]]-Table13[[#This Row],[Offering Corporate Rate 2026]]</f>
        <v>199000</v>
      </c>
      <c r="J465" s="76" t="str">
        <f>IF(Table13[[#This Row],[Nilai Selisih]]&gt;100000,"Recommend","Revise")</f>
        <v>Recommend</v>
      </c>
      <c r="K465" s="17" t="s">
        <v>3</v>
      </c>
      <c r="L465" s="121" t="s">
        <v>1113</v>
      </c>
      <c r="M465" s="18" t="s">
        <v>3</v>
      </c>
    </row>
    <row r="466" spans="1:13" ht="14" customHeight="1" x14ac:dyDescent="0.3">
      <c r="A466" s="9">
        <v>1</v>
      </c>
      <c r="B466" s="9" t="s">
        <v>0</v>
      </c>
      <c r="C466" s="30" t="s">
        <v>1059</v>
      </c>
      <c r="D466" s="44" t="s">
        <v>1268</v>
      </c>
      <c r="E466" s="119" t="s">
        <v>1148</v>
      </c>
      <c r="F466" s="1" t="s">
        <v>1149</v>
      </c>
      <c r="G466" s="49">
        <v>750000</v>
      </c>
      <c r="H466" s="46">
        <v>640000</v>
      </c>
      <c r="I466" s="16">
        <f>Table13[[#This Row],[Publish Rate]]-Table13[[#This Row],[Offering Corporate Rate 2026]]</f>
        <v>110000</v>
      </c>
      <c r="J466" s="76" t="str">
        <f>IF(Table13[[#This Row],[Nilai Selisih]]&gt;100000,"Recommend","Revise")</f>
        <v>Recommend</v>
      </c>
      <c r="K466" s="17" t="s">
        <v>3</v>
      </c>
      <c r="L466" s="121" t="s">
        <v>1113</v>
      </c>
      <c r="M466" s="18" t="s">
        <v>3</v>
      </c>
    </row>
    <row r="467" spans="1:13" ht="14" customHeight="1" thickBot="1" x14ac:dyDescent="0.35">
      <c r="A467" s="9">
        <v>1</v>
      </c>
      <c r="B467" s="9" t="s">
        <v>0</v>
      </c>
      <c r="C467" s="30" t="s">
        <v>1059</v>
      </c>
      <c r="D467" s="44" t="s">
        <v>1268</v>
      </c>
      <c r="E467" s="119" t="s">
        <v>1150</v>
      </c>
      <c r="F467" s="120" t="s">
        <v>1151</v>
      </c>
      <c r="G467" s="49">
        <v>515000</v>
      </c>
      <c r="H467" s="46">
        <v>440000</v>
      </c>
      <c r="I467" s="16">
        <f>Table13[[#This Row],[Publish Rate]]-Table13[[#This Row],[Offering Corporate Rate 2026]]</f>
        <v>75000</v>
      </c>
      <c r="J467" s="76" t="str">
        <f>IF(Table13[[#This Row],[Nilai Selisih]]&gt;100000,"Recommend","Revise")</f>
        <v>Revise</v>
      </c>
      <c r="K467" s="17" t="s">
        <v>3</v>
      </c>
      <c r="L467" s="119" t="s">
        <v>1152</v>
      </c>
      <c r="M467" s="18" t="s">
        <v>3</v>
      </c>
    </row>
    <row r="468" spans="1:13" ht="14" customHeight="1" thickTop="1" x14ac:dyDescent="0.3">
      <c r="A468" s="9">
        <v>1</v>
      </c>
      <c r="B468" s="9" t="s">
        <v>0</v>
      </c>
      <c r="C468" s="30" t="s">
        <v>1059</v>
      </c>
      <c r="D468" s="44" t="s">
        <v>1268</v>
      </c>
      <c r="E468" s="119" t="s">
        <v>1153</v>
      </c>
      <c r="F468" s="1" t="s">
        <v>1154</v>
      </c>
      <c r="G468" s="49">
        <v>685000</v>
      </c>
      <c r="H468" s="46">
        <v>615000</v>
      </c>
      <c r="I468" s="16">
        <f>Table13[[#This Row],[Publish Rate]]-Table13[[#This Row],[Offering Corporate Rate 2026]]</f>
        <v>70000</v>
      </c>
      <c r="J468" s="76" t="str">
        <f>IF(Table13[[#This Row],[Nilai Selisih]]&gt;100000,"Recommend","Revise")</f>
        <v>Revise</v>
      </c>
      <c r="K468" s="17" t="s">
        <v>3</v>
      </c>
      <c r="L468" s="119" t="s">
        <v>1113</v>
      </c>
      <c r="M468" s="18" t="s">
        <v>3</v>
      </c>
    </row>
    <row r="469" spans="1:13" ht="14" customHeight="1" x14ac:dyDescent="0.3">
      <c r="A469" s="9">
        <v>1</v>
      </c>
      <c r="B469" s="9" t="s">
        <v>0</v>
      </c>
      <c r="C469" s="30" t="s">
        <v>1059</v>
      </c>
      <c r="D469" s="44" t="s">
        <v>513</v>
      </c>
      <c r="E469" s="119" t="s">
        <v>1155</v>
      </c>
      <c r="F469" s="1" t="s">
        <v>1156</v>
      </c>
      <c r="G469" s="49">
        <v>925000</v>
      </c>
      <c r="H469" s="46">
        <v>740000</v>
      </c>
      <c r="I469" s="16">
        <f>Table13[[#This Row],[Publish Rate]]-Table13[[#This Row],[Offering Corporate Rate 2026]]</f>
        <v>185000</v>
      </c>
      <c r="J469" s="76" t="str">
        <f>IF(Table13[[#This Row],[Nilai Selisih]]&gt;100000,"Recommend","Revise")</f>
        <v>Recommend</v>
      </c>
      <c r="K469" s="17" t="s">
        <v>3</v>
      </c>
      <c r="L469" s="119" t="s">
        <v>1157</v>
      </c>
      <c r="M469" s="18" t="s">
        <v>3</v>
      </c>
    </row>
    <row r="470" spans="1:13" ht="14" customHeight="1" x14ac:dyDescent="0.3">
      <c r="A470" s="9">
        <v>1</v>
      </c>
      <c r="B470" s="9" t="s">
        <v>0</v>
      </c>
      <c r="C470" s="30" t="s">
        <v>1059</v>
      </c>
      <c r="D470" s="44" t="s">
        <v>362</v>
      </c>
      <c r="E470" s="119" t="s">
        <v>1158</v>
      </c>
      <c r="F470" s="1" t="s">
        <v>1159</v>
      </c>
      <c r="G470" s="49">
        <v>1020000</v>
      </c>
      <c r="H470" s="46">
        <v>890000</v>
      </c>
      <c r="I470" s="16">
        <f>Table13[[#This Row],[Publish Rate]]-Table13[[#This Row],[Offering Corporate Rate 2026]]</f>
        <v>130000</v>
      </c>
      <c r="J470" s="76" t="str">
        <f>IF(Table13[[#This Row],[Nilai Selisih]]&gt;100000,"Recommend","Revise")</f>
        <v>Recommend</v>
      </c>
      <c r="K470" s="17" t="s">
        <v>3</v>
      </c>
      <c r="L470" s="119" t="s">
        <v>1113</v>
      </c>
      <c r="M470" s="18" t="s">
        <v>3</v>
      </c>
    </row>
    <row r="471" spans="1:13" ht="14" customHeight="1" x14ac:dyDescent="0.3">
      <c r="A471" s="9">
        <v>1</v>
      </c>
      <c r="B471" s="9" t="s">
        <v>0</v>
      </c>
      <c r="C471" s="30" t="s">
        <v>1059</v>
      </c>
      <c r="D471" s="44" t="s">
        <v>1809</v>
      </c>
      <c r="E471" s="119" t="s">
        <v>1160</v>
      </c>
      <c r="F471" s="1" t="s">
        <v>1161</v>
      </c>
      <c r="G471" s="49">
        <v>919999</v>
      </c>
      <c r="H471" s="46">
        <v>565000</v>
      </c>
      <c r="I471" s="16">
        <f>Table13[[#This Row],[Publish Rate]]-Table13[[#This Row],[Offering Corporate Rate 2026]]</f>
        <v>354999</v>
      </c>
      <c r="J471" s="76" t="str">
        <f>IF(Table13[[#This Row],[Nilai Selisih]]&gt;100000,"Recommend","Revise")</f>
        <v>Recommend</v>
      </c>
      <c r="K471" s="17" t="s">
        <v>3</v>
      </c>
      <c r="L471" s="119" t="s">
        <v>36</v>
      </c>
      <c r="M471" s="18" t="s">
        <v>3</v>
      </c>
    </row>
    <row r="472" spans="1:13" ht="14" customHeight="1" x14ac:dyDescent="0.3">
      <c r="A472" s="9">
        <v>1</v>
      </c>
      <c r="B472" s="9" t="s">
        <v>0</v>
      </c>
      <c r="C472" s="30" t="s">
        <v>1059</v>
      </c>
      <c r="D472" s="44" t="s">
        <v>1809</v>
      </c>
      <c r="E472" s="119" t="s">
        <v>1162</v>
      </c>
      <c r="F472" s="1" t="s">
        <v>1163</v>
      </c>
      <c r="G472" s="49">
        <v>760000</v>
      </c>
      <c r="H472" s="46">
        <v>590000</v>
      </c>
      <c r="I472" s="16">
        <f>Table13[[#This Row],[Publish Rate]]-Table13[[#This Row],[Offering Corporate Rate 2026]]</f>
        <v>170000</v>
      </c>
      <c r="J472" s="76" t="str">
        <f>IF(Table13[[#This Row],[Nilai Selisih]]&gt;100000,"Recommend","Revise")</f>
        <v>Recommend</v>
      </c>
      <c r="K472" s="17" t="s">
        <v>3</v>
      </c>
      <c r="L472" s="119" t="s">
        <v>1113</v>
      </c>
      <c r="M472" s="18" t="s">
        <v>3</v>
      </c>
    </row>
    <row r="473" spans="1:13" ht="14" customHeight="1" x14ac:dyDescent="0.3">
      <c r="A473" s="9">
        <v>1</v>
      </c>
      <c r="B473" s="9" t="s">
        <v>0</v>
      </c>
      <c r="C473" s="30" t="s">
        <v>1059</v>
      </c>
      <c r="D473" s="44" t="s">
        <v>1806</v>
      </c>
      <c r="E473" s="119" t="s">
        <v>1164</v>
      </c>
      <c r="F473" s="1" t="s">
        <v>1165</v>
      </c>
      <c r="G473" s="49">
        <v>2439999</v>
      </c>
      <c r="H473" s="46">
        <v>1120000</v>
      </c>
      <c r="I473" s="16">
        <f>Table13[[#This Row],[Publish Rate]]-Table13[[#This Row],[Offering Corporate Rate 2026]]</f>
        <v>1319999</v>
      </c>
      <c r="J473" s="76" t="str">
        <f>IF(Table13[[#This Row],[Nilai Selisih]]&gt;100000,"Recommend","Revise")</f>
        <v>Recommend</v>
      </c>
      <c r="K473" s="17" t="s">
        <v>3</v>
      </c>
      <c r="L473" s="122" t="s">
        <v>36</v>
      </c>
      <c r="M473" s="18" t="s">
        <v>3</v>
      </c>
    </row>
    <row r="474" spans="1:13" ht="14" customHeight="1" x14ac:dyDescent="0.3">
      <c r="A474" s="9">
        <v>1</v>
      </c>
      <c r="B474" s="9" t="s">
        <v>0</v>
      </c>
      <c r="C474" s="30" t="s">
        <v>1059</v>
      </c>
      <c r="D474" s="44" t="s">
        <v>1806</v>
      </c>
      <c r="E474" s="119" t="s">
        <v>1166</v>
      </c>
      <c r="F474" s="1" t="s">
        <v>1167</v>
      </c>
      <c r="G474" s="49">
        <v>735000</v>
      </c>
      <c r="H474" s="46">
        <v>620000</v>
      </c>
      <c r="I474" s="16">
        <f>Table13[[#This Row],[Publish Rate]]-Table13[[#This Row],[Offering Corporate Rate 2026]]</f>
        <v>115000</v>
      </c>
      <c r="J474" s="76" t="str">
        <f>IF(Table13[[#This Row],[Nilai Selisih]]&gt;100000,"Recommend","Revise")</f>
        <v>Recommend</v>
      </c>
      <c r="K474" s="17" t="s">
        <v>3</v>
      </c>
      <c r="L474" s="44" t="s">
        <v>1125</v>
      </c>
      <c r="M474" s="18" t="s">
        <v>3</v>
      </c>
    </row>
    <row r="475" spans="1:13" ht="14" customHeight="1" x14ac:dyDescent="0.3">
      <c r="A475" s="9">
        <v>1</v>
      </c>
      <c r="B475" s="9" t="s">
        <v>0</v>
      </c>
      <c r="C475" s="30" t="s">
        <v>1059</v>
      </c>
      <c r="D475" s="44" t="s">
        <v>1806</v>
      </c>
      <c r="E475" s="119" t="s">
        <v>1168</v>
      </c>
      <c r="F475" s="1" t="s">
        <v>1165</v>
      </c>
      <c r="G475" s="49">
        <v>676000</v>
      </c>
      <c r="H475" s="46">
        <v>560500</v>
      </c>
      <c r="I475" s="16">
        <f>Table13[[#This Row],[Publish Rate]]-Table13[[#This Row],[Offering Corporate Rate 2026]]</f>
        <v>115500</v>
      </c>
      <c r="J475" s="76" t="str">
        <f>IF(Table13[[#This Row],[Nilai Selisih]]&gt;100000,"Recommend","Revise")</f>
        <v>Recommend</v>
      </c>
      <c r="K475" s="17" t="s">
        <v>3</v>
      </c>
      <c r="L475" s="44" t="s">
        <v>1122</v>
      </c>
      <c r="M475" s="18" t="s">
        <v>3</v>
      </c>
    </row>
    <row r="476" spans="1:13" ht="14" customHeight="1" x14ac:dyDescent="0.3">
      <c r="A476" s="9">
        <v>1</v>
      </c>
      <c r="B476" s="9" t="s">
        <v>0</v>
      </c>
      <c r="C476" s="30" t="s">
        <v>1059</v>
      </c>
      <c r="D476" s="44" t="s">
        <v>1530</v>
      </c>
      <c r="E476" s="119" t="s">
        <v>1169</v>
      </c>
      <c r="F476" s="1" t="s">
        <v>1170</v>
      </c>
      <c r="G476" s="49">
        <v>917999</v>
      </c>
      <c r="H476" s="46">
        <v>708000</v>
      </c>
      <c r="I476" s="16">
        <f>Table13[[#This Row],[Publish Rate]]-Table13[[#This Row],[Offering Corporate Rate 2026]]</f>
        <v>209999</v>
      </c>
      <c r="J476" s="76" t="str">
        <f>IF(Table13[[#This Row],[Nilai Selisih]]&gt;100000,"Recommend","Revise")</f>
        <v>Recommend</v>
      </c>
      <c r="K476" s="17" t="s">
        <v>3</v>
      </c>
      <c r="L476" s="44" t="s">
        <v>1113</v>
      </c>
      <c r="M476" s="18" t="s">
        <v>3</v>
      </c>
    </row>
    <row r="477" spans="1:13" ht="14" customHeight="1" x14ac:dyDescent="0.3">
      <c r="A477" s="9">
        <v>1</v>
      </c>
      <c r="B477" s="9" t="s">
        <v>0</v>
      </c>
      <c r="C477" s="30" t="s">
        <v>1059</v>
      </c>
      <c r="D477" s="44" t="s">
        <v>1816</v>
      </c>
      <c r="E477" s="119" t="s">
        <v>1171</v>
      </c>
      <c r="F477" s="1" t="s">
        <v>1172</v>
      </c>
      <c r="G477" s="49">
        <f>628099+131901+100000</f>
        <v>860000</v>
      </c>
      <c r="H477" s="46">
        <v>790000</v>
      </c>
      <c r="I477" s="16">
        <f>Table13[[#This Row],[Publish Rate]]-Table13[[#This Row],[Offering Corporate Rate 2026]]</f>
        <v>70000</v>
      </c>
      <c r="J477" s="76" t="str">
        <f>IF(Table13[[#This Row],[Nilai Selisih]]&gt;100000,"Recommend","Revise")</f>
        <v>Revise</v>
      </c>
      <c r="K477" s="17" t="s">
        <v>3</v>
      </c>
      <c r="L477" s="44" t="s">
        <v>1113</v>
      </c>
      <c r="M477" s="18" t="s">
        <v>3</v>
      </c>
    </row>
    <row r="478" spans="1:13" ht="14" customHeight="1" x14ac:dyDescent="0.3">
      <c r="A478" s="9">
        <v>1</v>
      </c>
      <c r="B478" s="9" t="s">
        <v>0</v>
      </c>
      <c r="C478" s="30" t="s">
        <v>1059</v>
      </c>
      <c r="D478" s="44" t="s">
        <v>1816</v>
      </c>
      <c r="E478" s="119" t="s">
        <v>1173</v>
      </c>
      <c r="F478" s="1" t="s">
        <v>1174</v>
      </c>
      <c r="G478" s="49">
        <v>730000</v>
      </c>
      <c r="H478" s="46">
        <v>690000</v>
      </c>
      <c r="I478" s="16">
        <f>Table13[[#This Row],[Publish Rate]]-Table13[[#This Row],[Offering Corporate Rate 2026]]</f>
        <v>40000</v>
      </c>
      <c r="J478" s="76" t="str">
        <f>IF(Table13[[#This Row],[Nilai Selisih]]&gt;100000,"Recommend","Revise")</f>
        <v>Revise</v>
      </c>
      <c r="K478" s="17" t="s">
        <v>3</v>
      </c>
      <c r="L478" s="44" t="s">
        <v>1125</v>
      </c>
      <c r="M478" s="18" t="s">
        <v>3</v>
      </c>
    </row>
    <row r="479" spans="1:13" ht="14" customHeight="1" x14ac:dyDescent="0.3">
      <c r="A479" s="9">
        <v>1</v>
      </c>
      <c r="B479" s="9" t="s">
        <v>0</v>
      </c>
      <c r="C479" s="30" t="s">
        <v>1059</v>
      </c>
      <c r="D479" s="44" t="s">
        <v>743</v>
      </c>
      <c r="E479" s="119" t="s">
        <v>1175</v>
      </c>
      <c r="F479" s="1" t="s">
        <v>1176</v>
      </c>
      <c r="G479" s="49">
        <v>930000</v>
      </c>
      <c r="H479" s="46">
        <v>820000</v>
      </c>
      <c r="I479" s="16">
        <f>Table13[[#This Row],[Publish Rate]]-Table13[[#This Row],[Offering Corporate Rate 2026]]</f>
        <v>110000</v>
      </c>
      <c r="J479" s="76" t="str">
        <f>IF(Table13[[#This Row],[Nilai Selisih]]&gt;100000,"Recommend","Revise")</f>
        <v>Recommend</v>
      </c>
      <c r="K479" s="17" t="s">
        <v>3</v>
      </c>
      <c r="L479" s="44" t="s">
        <v>1113</v>
      </c>
      <c r="M479" s="18" t="s">
        <v>3</v>
      </c>
    </row>
    <row r="480" spans="1:13" ht="14" customHeight="1" x14ac:dyDescent="0.3">
      <c r="A480" s="9">
        <v>1</v>
      </c>
      <c r="B480" s="9" t="s">
        <v>0</v>
      </c>
      <c r="C480" s="30" t="s">
        <v>1059</v>
      </c>
      <c r="D480" s="44" t="s">
        <v>1804</v>
      </c>
      <c r="E480" s="119" t="s">
        <v>1177</v>
      </c>
      <c r="F480" s="1" t="s">
        <v>1178</v>
      </c>
      <c r="G480" s="49">
        <v>830000</v>
      </c>
      <c r="H480" s="46">
        <v>730000</v>
      </c>
      <c r="I480" s="16">
        <f>Table13[[#This Row],[Publish Rate]]-Table13[[#This Row],[Offering Corporate Rate 2026]]</f>
        <v>100000</v>
      </c>
      <c r="J480" s="76" t="str">
        <f>IF(Table13[[#This Row],[Nilai Selisih]]&gt;100000,"Recommend","Revise")</f>
        <v>Revise</v>
      </c>
      <c r="K480" s="17" t="s">
        <v>3</v>
      </c>
      <c r="L480" s="44" t="s">
        <v>1125</v>
      </c>
      <c r="M480" s="18" t="s">
        <v>3</v>
      </c>
    </row>
    <row r="481" spans="1:13" ht="14" customHeight="1" x14ac:dyDescent="0.3">
      <c r="A481" s="9">
        <v>1</v>
      </c>
      <c r="B481" s="9" t="s">
        <v>0</v>
      </c>
      <c r="C481" s="30" t="s">
        <v>1059</v>
      </c>
      <c r="D481" s="44" t="s">
        <v>1270</v>
      </c>
      <c r="E481" s="119" t="s">
        <v>1179</v>
      </c>
      <c r="F481" s="1" t="s">
        <v>1180</v>
      </c>
      <c r="G481" s="49">
        <v>1305000</v>
      </c>
      <c r="H481" s="46">
        <v>984000</v>
      </c>
      <c r="I481" s="16">
        <f>Table13[[#This Row],[Publish Rate]]-Table13[[#This Row],[Offering Corporate Rate 2026]]</f>
        <v>321000</v>
      </c>
      <c r="J481" s="76" t="str">
        <f>IF(Table13[[#This Row],[Nilai Selisih]]&gt;100000,"Recommend","Revise")</f>
        <v>Recommend</v>
      </c>
      <c r="K481" s="17" t="s">
        <v>3</v>
      </c>
      <c r="L481" s="44" t="s">
        <v>1113</v>
      </c>
      <c r="M481" s="18" t="s">
        <v>3</v>
      </c>
    </row>
    <row r="482" spans="1:13" ht="14" customHeight="1" x14ac:dyDescent="0.3">
      <c r="A482" s="9">
        <v>1</v>
      </c>
      <c r="B482" s="9" t="s">
        <v>0</v>
      </c>
      <c r="C482" s="30" t="s">
        <v>1059</v>
      </c>
      <c r="D482" s="44" t="s">
        <v>1804</v>
      </c>
      <c r="E482" s="119" t="s">
        <v>1181</v>
      </c>
      <c r="F482" s="1" t="s">
        <v>1182</v>
      </c>
      <c r="G482" s="49">
        <v>1029999</v>
      </c>
      <c r="H482" s="46">
        <v>790000</v>
      </c>
      <c r="I482" s="16">
        <f>Table13[[#This Row],[Publish Rate]]-Table13[[#This Row],[Offering Corporate Rate 2026]]</f>
        <v>239999</v>
      </c>
      <c r="J482" s="76" t="str">
        <f>IF(Table13[[#This Row],[Nilai Selisih]]&gt;100000,"Recommend","Revise")</f>
        <v>Recommend</v>
      </c>
      <c r="K482" s="17" t="s">
        <v>3</v>
      </c>
      <c r="L482" s="44" t="s">
        <v>1113</v>
      </c>
      <c r="M482" s="18" t="s">
        <v>3</v>
      </c>
    </row>
    <row r="483" spans="1:13" ht="14" customHeight="1" x14ac:dyDescent="0.3">
      <c r="A483" s="9">
        <v>1</v>
      </c>
      <c r="B483" s="9" t="s">
        <v>0</v>
      </c>
      <c r="C483" s="30" t="s">
        <v>1059</v>
      </c>
      <c r="D483" s="44" t="s">
        <v>743</v>
      </c>
      <c r="E483" s="119" t="s">
        <v>1183</v>
      </c>
      <c r="F483" s="1" t="s">
        <v>1184</v>
      </c>
      <c r="G483" s="49">
        <v>2349999</v>
      </c>
      <c r="H483" s="46">
        <v>2232500</v>
      </c>
      <c r="I483" s="16">
        <f>Table13[[#This Row],[Publish Rate]]-Table13[[#This Row],[Offering Corporate Rate 2026]]</f>
        <v>117499</v>
      </c>
      <c r="J483" s="76" t="str">
        <f>IF(Table13[[#This Row],[Nilai Selisih]]&gt;100000,"Recommend","Revise")</f>
        <v>Recommend</v>
      </c>
      <c r="K483" s="17" t="s">
        <v>3</v>
      </c>
      <c r="L483" s="44" t="s">
        <v>1113</v>
      </c>
      <c r="M483" s="18" t="s">
        <v>3</v>
      </c>
    </row>
    <row r="484" spans="1:13" ht="14" customHeight="1" x14ac:dyDescent="0.3">
      <c r="A484" s="9">
        <v>1</v>
      </c>
      <c r="B484" s="9" t="s">
        <v>0</v>
      </c>
      <c r="C484" s="30" t="s">
        <v>1059</v>
      </c>
      <c r="D484" s="44" t="s">
        <v>1804</v>
      </c>
      <c r="E484" s="119" t="s">
        <v>1185</v>
      </c>
      <c r="F484" s="1" t="s">
        <v>1186</v>
      </c>
      <c r="G484" s="49">
        <v>694000</v>
      </c>
      <c r="H484" s="46">
        <v>552000</v>
      </c>
      <c r="I484" s="16">
        <f>Table13[[#This Row],[Publish Rate]]-Table13[[#This Row],[Offering Corporate Rate 2026]]</f>
        <v>142000</v>
      </c>
      <c r="J484" s="76" t="str">
        <f>IF(Table13[[#This Row],[Nilai Selisih]]&gt;100000,"Recommend","Revise")</f>
        <v>Recommend</v>
      </c>
      <c r="K484" s="17" t="s">
        <v>3</v>
      </c>
      <c r="L484" s="44" t="s">
        <v>1187</v>
      </c>
      <c r="M484" s="18" t="s">
        <v>3</v>
      </c>
    </row>
    <row r="485" spans="1:13" ht="14" customHeight="1" x14ac:dyDescent="0.3">
      <c r="A485" s="9">
        <v>1</v>
      </c>
      <c r="B485" s="9" t="s">
        <v>0</v>
      </c>
      <c r="C485" s="30" t="s">
        <v>1059</v>
      </c>
      <c r="D485" s="44" t="s">
        <v>1815</v>
      </c>
      <c r="E485" s="119" t="s">
        <v>1188</v>
      </c>
      <c r="F485" s="1" t="s">
        <v>1189</v>
      </c>
      <c r="G485" s="49">
        <v>951082</v>
      </c>
      <c r="H485" s="46">
        <v>788028</v>
      </c>
      <c r="I485" s="16">
        <f>Table13[[#This Row],[Publish Rate]]-Table13[[#This Row],[Offering Corporate Rate 2026]]</f>
        <v>163054</v>
      </c>
      <c r="J485" s="76" t="str">
        <f>IF(Table13[[#This Row],[Nilai Selisih]]&gt;100000,"Recommend","Revise")</f>
        <v>Recommend</v>
      </c>
      <c r="K485" s="17" t="s">
        <v>3</v>
      </c>
      <c r="L485" s="44" t="s">
        <v>1113</v>
      </c>
      <c r="M485" s="18" t="s">
        <v>3</v>
      </c>
    </row>
    <row r="486" spans="1:13" ht="14" customHeight="1" x14ac:dyDescent="0.3">
      <c r="A486" s="9">
        <v>1</v>
      </c>
      <c r="B486" s="9" t="s">
        <v>0</v>
      </c>
      <c r="C486" s="30" t="s">
        <v>1059</v>
      </c>
      <c r="D486" s="44" t="s">
        <v>1810</v>
      </c>
      <c r="E486" s="119" t="s">
        <v>1190</v>
      </c>
      <c r="F486" s="1" t="s">
        <v>1191</v>
      </c>
      <c r="G486" s="49">
        <v>750000</v>
      </c>
      <c r="H486" s="46">
        <v>560000</v>
      </c>
      <c r="I486" s="16">
        <f>Table13[[#This Row],[Publish Rate]]-Table13[[#This Row],[Offering Corporate Rate 2026]]</f>
        <v>190000</v>
      </c>
      <c r="J486" s="76" t="str">
        <f>IF(Table13[[#This Row],[Nilai Selisih]]&gt;100000,"Recommend","Revise")</f>
        <v>Recommend</v>
      </c>
      <c r="K486" s="17" t="s">
        <v>3</v>
      </c>
      <c r="L486" s="44" t="s">
        <v>1192</v>
      </c>
      <c r="M486" s="18" t="s">
        <v>3</v>
      </c>
    </row>
    <row r="487" spans="1:13" ht="14" customHeight="1" x14ac:dyDescent="0.3">
      <c r="A487" s="9">
        <v>1</v>
      </c>
      <c r="B487" s="9" t="s">
        <v>0</v>
      </c>
      <c r="C487" s="30" t="s">
        <v>1059</v>
      </c>
      <c r="D487" s="44" t="s">
        <v>1818</v>
      </c>
      <c r="E487" s="119" t="s">
        <v>1193</v>
      </c>
      <c r="F487" s="1" t="s">
        <v>1194</v>
      </c>
      <c r="G487" s="49">
        <v>890000</v>
      </c>
      <c r="H487" s="46">
        <v>700000</v>
      </c>
      <c r="I487" s="16">
        <f>Table13[[#This Row],[Publish Rate]]-Table13[[#This Row],[Offering Corporate Rate 2026]]</f>
        <v>190000</v>
      </c>
      <c r="J487" s="76" t="str">
        <f>IF(Table13[[#This Row],[Nilai Selisih]]&gt;100000,"Recommend","Revise")</f>
        <v>Recommend</v>
      </c>
      <c r="K487" s="17" t="s">
        <v>3</v>
      </c>
      <c r="L487" s="44" t="s">
        <v>1113</v>
      </c>
      <c r="M487" s="18" t="s">
        <v>3</v>
      </c>
    </row>
    <row r="488" spans="1:13" ht="14" customHeight="1" x14ac:dyDescent="0.3">
      <c r="A488" s="9">
        <v>1</v>
      </c>
      <c r="B488" s="9" t="s">
        <v>0</v>
      </c>
      <c r="C488" s="30" t="s">
        <v>1059</v>
      </c>
      <c r="D488" s="44" t="s">
        <v>1565</v>
      </c>
      <c r="E488" s="119" t="s">
        <v>1195</v>
      </c>
      <c r="F488" s="1" t="s">
        <v>1196</v>
      </c>
      <c r="G488" s="49">
        <v>840000</v>
      </c>
      <c r="H488" s="46">
        <v>716000</v>
      </c>
      <c r="I488" s="16">
        <f>Table13[[#This Row],[Publish Rate]]-Table13[[#This Row],[Offering Corporate Rate 2026]]</f>
        <v>124000</v>
      </c>
      <c r="J488" s="76" t="str">
        <f>IF(Table13[[#This Row],[Nilai Selisih]]&gt;100000,"Recommend","Revise")</f>
        <v>Recommend</v>
      </c>
      <c r="K488" s="17" t="s">
        <v>3</v>
      </c>
      <c r="L488" s="44" t="s">
        <v>1113</v>
      </c>
      <c r="M488" s="18" t="s">
        <v>3</v>
      </c>
    </row>
    <row r="489" spans="1:13" ht="14" customHeight="1" x14ac:dyDescent="0.3">
      <c r="A489" s="9">
        <v>1</v>
      </c>
      <c r="B489" s="9" t="s">
        <v>0</v>
      </c>
      <c r="C489" s="30" t="s">
        <v>1059</v>
      </c>
      <c r="D489" s="44" t="s">
        <v>1565</v>
      </c>
      <c r="E489" s="119" t="s">
        <v>1197</v>
      </c>
      <c r="F489" s="1" t="s">
        <v>1198</v>
      </c>
      <c r="G489" s="49">
        <v>840000</v>
      </c>
      <c r="H489" s="46">
        <v>635000</v>
      </c>
      <c r="I489" s="16">
        <f>Table13[[#This Row],[Publish Rate]]-Table13[[#This Row],[Offering Corporate Rate 2026]]</f>
        <v>205000</v>
      </c>
      <c r="J489" s="76" t="str">
        <f>IF(Table13[[#This Row],[Nilai Selisih]]&gt;100000,"Recommend","Revise")</f>
        <v>Recommend</v>
      </c>
      <c r="K489" s="17" t="s">
        <v>3</v>
      </c>
      <c r="L489" s="44" t="s">
        <v>1113</v>
      </c>
      <c r="M489" s="18" t="s">
        <v>3</v>
      </c>
    </row>
    <row r="490" spans="1:13" ht="14" customHeight="1" x14ac:dyDescent="0.3">
      <c r="A490" s="9">
        <v>1</v>
      </c>
      <c r="B490" s="9" t="s">
        <v>0</v>
      </c>
      <c r="C490" s="30" t="s">
        <v>1059</v>
      </c>
      <c r="D490" s="44" t="s">
        <v>1813</v>
      </c>
      <c r="E490" s="119" t="s">
        <v>1199</v>
      </c>
      <c r="F490" s="1" t="s">
        <v>1200</v>
      </c>
      <c r="G490" s="49">
        <v>955000</v>
      </c>
      <c r="H490" s="46">
        <v>680000</v>
      </c>
      <c r="I490" s="16">
        <f>Table13[[#This Row],[Publish Rate]]-Table13[[#This Row],[Offering Corporate Rate 2026]]</f>
        <v>275000</v>
      </c>
      <c r="J490" s="76" t="str">
        <f>IF(Table13[[#This Row],[Nilai Selisih]]&gt;100000,"Recommend","Revise")</f>
        <v>Recommend</v>
      </c>
      <c r="K490" s="17" t="s">
        <v>3</v>
      </c>
      <c r="L490" s="44" t="s">
        <v>1201</v>
      </c>
      <c r="M490" s="18" t="s">
        <v>3</v>
      </c>
    </row>
    <row r="491" spans="1:13" ht="14" customHeight="1" x14ac:dyDescent="0.3">
      <c r="A491" s="9">
        <v>1</v>
      </c>
      <c r="B491" s="9" t="s">
        <v>0</v>
      </c>
      <c r="C491" s="30" t="s">
        <v>1059</v>
      </c>
      <c r="D491" s="44" t="s">
        <v>1813</v>
      </c>
      <c r="E491" s="119" t="s">
        <v>1202</v>
      </c>
      <c r="F491" s="1" t="s">
        <v>1203</v>
      </c>
      <c r="G491" s="49">
        <v>730000</v>
      </c>
      <c r="H491" s="46">
        <v>520000</v>
      </c>
      <c r="I491" s="16">
        <f>Table13[[#This Row],[Publish Rate]]-Table13[[#This Row],[Offering Corporate Rate 2026]]</f>
        <v>210000</v>
      </c>
      <c r="J491" s="76" t="str">
        <f>IF(Table13[[#This Row],[Nilai Selisih]]&gt;100000,"Recommend","Revise")</f>
        <v>Recommend</v>
      </c>
      <c r="K491" s="17" t="s">
        <v>3</v>
      </c>
      <c r="L491" s="44" t="s">
        <v>1125</v>
      </c>
      <c r="M491" s="18" t="s">
        <v>3</v>
      </c>
    </row>
    <row r="492" spans="1:13" ht="14" customHeight="1" x14ac:dyDescent="0.3">
      <c r="A492" s="9">
        <v>1</v>
      </c>
      <c r="B492" s="9" t="s">
        <v>0</v>
      </c>
      <c r="C492" s="30" t="s">
        <v>1059</v>
      </c>
      <c r="D492" s="44" t="s">
        <v>881</v>
      </c>
      <c r="E492" s="119" t="s">
        <v>1204</v>
      </c>
      <c r="F492" s="1" t="s">
        <v>1205</v>
      </c>
      <c r="G492" s="49">
        <v>729000</v>
      </c>
      <c r="H492" s="46">
        <v>674000</v>
      </c>
      <c r="I492" s="16">
        <f>Table13[[#This Row],[Publish Rate]]-Table13[[#This Row],[Offering Corporate Rate 2026]]</f>
        <v>55000</v>
      </c>
      <c r="J492" s="76" t="str">
        <f>IF(Table13[[#This Row],[Nilai Selisih]]&gt;100000,"Recommend","Revise")</f>
        <v>Revise</v>
      </c>
      <c r="K492" s="17" t="s">
        <v>3</v>
      </c>
      <c r="L492" s="44" t="s">
        <v>1157</v>
      </c>
      <c r="M492" s="18" t="s">
        <v>3</v>
      </c>
    </row>
    <row r="493" spans="1:13" ht="14" customHeight="1" x14ac:dyDescent="0.3">
      <c r="A493" s="9">
        <v>1</v>
      </c>
      <c r="B493" s="9" t="s">
        <v>0</v>
      </c>
      <c r="C493" s="30" t="s">
        <v>1059</v>
      </c>
      <c r="D493" s="44" t="s">
        <v>881</v>
      </c>
      <c r="E493" s="119" t="s">
        <v>1206</v>
      </c>
      <c r="F493" s="1" t="s">
        <v>1207</v>
      </c>
      <c r="G493" s="49">
        <v>865000</v>
      </c>
      <c r="H493" s="46">
        <v>710000</v>
      </c>
      <c r="I493" s="16">
        <f>Table13[[#This Row],[Publish Rate]]-Table13[[#This Row],[Offering Corporate Rate 2026]]</f>
        <v>155000</v>
      </c>
      <c r="J493" s="76" t="str">
        <f>IF(Table13[[#This Row],[Nilai Selisih]]&gt;100000,"Recommend","Revise")</f>
        <v>Recommend</v>
      </c>
      <c r="K493" s="17" t="s">
        <v>3</v>
      </c>
      <c r="L493" s="44" t="s">
        <v>1208</v>
      </c>
      <c r="M493" s="18" t="s">
        <v>3</v>
      </c>
    </row>
    <row r="494" spans="1:13" ht="14" customHeight="1" x14ac:dyDescent="0.3">
      <c r="A494" s="9">
        <v>1</v>
      </c>
      <c r="B494" s="9" t="s">
        <v>0</v>
      </c>
      <c r="C494" s="30" t="s">
        <v>1059</v>
      </c>
      <c r="D494" s="44" t="s">
        <v>1813</v>
      </c>
      <c r="E494" s="119" t="s">
        <v>1209</v>
      </c>
      <c r="F494" s="1" t="s">
        <v>1210</v>
      </c>
      <c r="G494" s="49">
        <v>470000</v>
      </c>
      <c r="H494" s="46">
        <v>459600</v>
      </c>
      <c r="I494" s="16">
        <f>Table13[[#This Row],[Publish Rate]]-Table13[[#This Row],[Offering Corporate Rate 2026]]</f>
        <v>10400</v>
      </c>
      <c r="J494" s="76" t="str">
        <f>IF(Table13[[#This Row],[Nilai Selisih]]&gt;100000,"Recommend","Revise")</f>
        <v>Revise</v>
      </c>
      <c r="K494" s="17" t="s">
        <v>3</v>
      </c>
      <c r="L494" s="44" t="s">
        <v>1125</v>
      </c>
      <c r="M494" s="18" t="s">
        <v>3</v>
      </c>
    </row>
    <row r="495" spans="1:13" ht="14" customHeight="1" x14ac:dyDescent="0.3">
      <c r="A495" s="9">
        <v>1</v>
      </c>
      <c r="B495" s="9" t="s">
        <v>0</v>
      </c>
      <c r="C495" s="30" t="s">
        <v>1059</v>
      </c>
      <c r="D495" s="44" t="s">
        <v>1752</v>
      </c>
      <c r="E495" s="119" t="s">
        <v>1211</v>
      </c>
      <c r="F495" s="1" t="s">
        <v>1212</v>
      </c>
      <c r="G495" s="49">
        <v>610000</v>
      </c>
      <c r="H495" s="46">
        <v>490000</v>
      </c>
      <c r="I495" s="16">
        <f>Table13[[#This Row],[Publish Rate]]-Table13[[#This Row],[Offering Corporate Rate 2026]]</f>
        <v>120000</v>
      </c>
      <c r="J495" s="76" t="str">
        <f>IF(Table13[[#This Row],[Nilai Selisih]]&gt;100000,"Recommend","Revise")</f>
        <v>Recommend</v>
      </c>
      <c r="K495" s="17" t="s">
        <v>3</v>
      </c>
      <c r="L495" s="44" t="s">
        <v>1201</v>
      </c>
      <c r="M495" s="18" t="s">
        <v>3</v>
      </c>
    </row>
    <row r="496" spans="1:13" ht="14" customHeight="1" x14ac:dyDescent="0.3">
      <c r="A496" s="9">
        <v>1</v>
      </c>
      <c r="B496" s="9" t="s">
        <v>0</v>
      </c>
      <c r="C496" s="30" t="s">
        <v>1059</v>
      </c>
      <c r="D496" s="44" t="s">
        <v>1807</v>
      </c>
      <c r="E496" s="119" t="s">
        <v>1213</v>
      </c>
      <c r="F496" s="1" t="s">
        <v>1214</v>
      </c>
      <c r="G496" s="49">
        <v>926499</v>
      </c>
      <c r="H496" s="46">
        <v>774500</v>
      </c>
      <c r="I496" s="16">
        <f>Table13[[#This Row],[Publish Rate]]-Table13[[#This Row],[Offering Corporate Rate 2026]]</f>
        <v>151999</v>
      </c>
      <c r="J496" s="76" t="str">
        <f>IF(Table13[[#This Row],[Nilai Selisih]]&gt;100000,"Recommend","Revise")</f>
        <v>Recommend</v>
      </c>
      <c r="K496" s="17" t="s">
        <v>3</v>
      </c>
      <c r="L496" s="44" t="s">
        <v>1113</v>
      </c>
      <c r="M496" s="18" t="s">
        <v>3</v>
      </c>
    </row>
    <row r="497" spans="1:13" ht="14" customHeight="1" x14ac:dyDescent="0.3">
      <c r="A497" s="9">
        <v>1</v>
      </c>
      <c r="B497" s="9" t="s">
        <v>0</v>
      </c>
      <c r="C497" s="30" t="s">
        <v>1059</v>
      </c>
      <c r="D497" s="44" t="s">
        <v>1819</v>
      </c>
      <c r="E497" s="119" t="s">
        <v>1215</v>
      </c>
      <c r="F497" s="1" t="s">
        <v>1216</v>
      </c>
      <c r="G497" s="49">
        <v>1046500</v>
      </c>
      <c r="H497" s="46">
        <v>905000</v>
      </c>
      <c r="I497" s="16">
        <f>Table13[[#This Row],[Publish Rate]]-Table13[[#This Row],[Offering Corporate Rate 2026]]</f>
        <v>141500</v>
      </c>
      <c r="J497" s="76" t="str">
        <f>IF(Table13[[#This Row],[Nilai Selisih]]&gt;100000,"Recommend","Revise")</f>
        <v>Recommend</v>
      </c>
      <c r="K497" s="17" t="s">
        <v>3</v>
      </c>
      <c r="L497" s="44" t="s">
        <v>1125</v>
      </c>
      <c r="M497" s="18" t="s">
        <v>3</v>
      </c>
    </row>
    <row r="498" spans="1:13" ht="14" customHeight="1" x14ac:dyDescent="0.3">
      <c r="A498" s="9">
        <v>1</v>
      </c>
      <c r="B498" s="9" t="s">
        <v>0</v>
      </c>
      <c r="C498" s="30" t="s">
        <v>1059</v>
      </c>
      <c r="D498" s="44" t="s">
        <v>231</v>
      </c>
      <c r="E498" s="119" t="s">
        <v>1217</v>
      </c>
      <c r="F498" s="1" t="s">
        <v>1218</v>
      </c>
      <c r="G498" s="49">
        <v>1508000</v>
      </c>
      <c r="H498" s="46">
        <v>1258000</v>
      </c>
      <c r="I498" s="16">
        <f>Table13[[#This Row],[Publish Rate]]-Table13[[#This Row],[Offering Corporate Rate 2026]]</f>
        <v>250000</v>
      </c>
      <c r="J498" s="76" t="str">
        <f>IF(Table13[[#This Row],[Nilai Selisih]]&gt;100000,"Recommend","Revise")</f>
        <v>Recommend</v>
      </c>
      <c r="K498" s="17" t="s">
        <v>3</v>
      </c>
      <c r="L498" s="44" t="s">
        <v>1125</v>
      </c>
      <c r="M498" s="18" t="s">
        <v>3</v>
      </c>
    </row>
    <row r="499" spans="1:13" ht="14" customHeight="1" x14ac:dyDescent="0.3">
      <c r="A499" s="9">
        <v>1</v>
      </c>
      <c r="B499" s="9" t="s">
        <v>0</v>
      </c>
      <c r="C499" s="30" t="s">
        <v>1059</v>
      </c>
      <c r="D499" s="44" t="s">
        <v>231</v>
      </c>
      <c r="E499" s="119" t="s">
        <v>1219</v>
      </c>
      <c r="F499" s="1" t="s">
        <v>1220</v>
      </c>
      <c r="G499" s="49">
        <v>1154999</v>
      </c>
      <c r="H499" s="46">
        <v>1030000</v>
      </c>
      <c r="I499" s="16">
        <f>Table13[[#This Row],[Publish Rate]]-Table13[[#This Row],[Offering Corporate Rate 2026]]</f>
        <v>124999</v>
      </c>
      <c r="J499" s="76" t="str">
        <f>IF(Table13[[#This Row],[Nilai Selisih]]&gt;100000,"Recommend","Revise")</f>
        <v>Recommend</v>
      </c>
      <c r="K499" s="17" t="s">
        <v>3</v>
      </c>
      <c r="L499" s="44" t="s">
        <v>1113</v>
      </c>
      <c r="M499" s="18" t="s">
        <v>3</v>
      </c>
    </row>
    <row r="500" spans="1:13" ht="14" customHeight="1" x14ac:dyDescent="0.3">
      <c r="A500" s="9">
        <v>1</v>
      </c>
      <c r="B500" s="9" t="s">
        <v>0</v>
      </c>
      <c r="C500" s="30" t="s">
        <v>1059</v>
      </c>
      <c r="D500" s="44" t="s">
        <v>231</v>
      </c>
      <c r="E500" s="119" t="s">
        <v>1221</v>
      </c>
      <c r="F500" s="1" t="s">
        <v>1222</v>
      </c>
      <c r="G500" s="49">
        <v>1060000</v>
      </c>
      <c r="H500" s="46">
        <v>960000</v>
      </c>
      <c r="I500" s="16">
        <f>Table13[[#This Row],[Publish Rate]]-Table13[[#This Row],[Offering Corporate Rate 2026]]</f>
        <v>100000</v>
      </c>
      <c r="J500" s="76" t="str">
        <f>IF(Table13[[#This Row],[Nilai Selisih]]&gt;100000,"Recommend","Revise")</f>
        <v>Revise</v>
      </c>
      <c r="K500" s="17" t="s">
        <v>3</v>
      </c>
      <c r="L500" s="44" t="s">
        <v>1125</v>
      </c>
      <c r="M500" s="18" t="s">
        <v>3</v>
      </c>
    </row>
    <row r="501" spans="1:13" ht="14" customHeight="1" x14ac:dyDescent="0.3">
      <c r="A501" s="9">
        <v>1</v>
      </c>
      <c r="B501" s="9" t="s">
        <v>0</v>
      </c>
      <c r="C501" s="30" t="s">
        <v>1059</v>
      </c>
      <c r="D501" s="44" t="s">
        <v>1819</v>
      </c>
      <c r="E501" s="119" t="s">
        <v>1223</v>
      </c>
      <c r="F501" s="1" t="s">
        <v>1224</v>
      </c>
      <c r="G501" s="49">
        <v>990000</v>
      </c>
      <c r="H501" s="46">
        <v>900000</v>
      </c>
      <c r="I501" s="16">
        <f>Table13[[#This Row],[Publish Rate]]-Table13[[#This Row],[Offering Corporate Rate 2026]]</f>
        <v>90000</v>
      </c>
      <c r="J501" s="76" t="str">
        <f>IF(Table13[[#This Row],[Nilai Selisih]]&gt;100000,"Recommend","Revise")</f>
        <v>Revise</v>
      </c>
      <c r="K501" s="17" t="s">
        <v>3</v>
      </c>
      <c r="L501" s="44" t="s">
        <v>1113</v>
      </c>
      <c r="M501" s="18" t="s">
        <v>3</v>
      </c>
    </row>
    <row r="502" spans="1:13" ht="14" customHeight="1" x14ac:dyDescent="0.3">
      <c r="A502" s="9">
        <v>1</v>
      </c>
      <c r="B502" s="9" t="s">
        <v>0</v>
      </c>
      <c r="C502" s="30" t="s">
        <v>1059</v>
      </c>
      <c r="D502" s="44" t="s">
        <v>1752</v>
      </c>
      <c r="E502" s="119" t="s">
        <v>1225</v>
      </c>
      <c r="F502" s="1" t="s">
        <v>1226</v>
      </c>
      <c r="G502" s="49">
        <v>1288000</v>
      </c>
      <c r="H502" s="46">
        <v>944540</v>
      </c>
      <c r="I502" s="16">
        <f>Table13[[#This Row],[Publish Rate]]-Table13[[#This Row],[Offering Corporate Rate 2026]]</f>
        <v>343460</v>
      </c>
      <c r="J502" s="76" t="str">
        <f>IF(Table13[[#This Row],[Nilai Selisih]]&gt;100000,"Recommend","Revise")</f>
        <v>Recommend</v>
      </c>
      <c r="K502" s="17" t="s">
        <v>3</v>
      </c>
      <c r="L502" s="44" t="s">
        <v>1841</v>
      </c>
      <c r="M502" s="18" t="s">
        <v>3</v>
      </c>
    </row>
    <row r="503" spans="1:13" ht="14" customHeight="1" x14ac:dyDescent="0.3">
      <c r="A503" s="9">
        <v>1</v>
      </c>
      <c r="B503" s="9" t="s">
        <v>0</v>
      </c>
      <c r="C503" s="30" t="s">
        <v>1059</v>
      </c>
      <c r="D503" s="44" t="s">
        <v>231</v>
      </c>
      <c r="E503" s="119" t="s">
        <v>1227</v>
      </c>
      <c r="F503" s="1" t="s">
        <v>1228</v>
      </c>
      <c r="G503" s="49">
        <v>854000</v>
      </c>
      <c r="H503" s="46">
        <v>759200</v>
      </c>
      <c r="I503" s="16">
        <f>Table13[[#This Row],[Publish Rate]]-Table13[[#This Row],[Offering Corporate Rate 2026]]</f>
        <v>94800</v>
      </c>
      <c r="J503" s="76" t="str">
        <f>IF(Table13[[#This Row],[Nilai Selisih]]&gt;100000,"Recommend","Revise")</f>
        <v>Revise</v>
      </c>
      <c r="K503" s="17" t="s">
        <v>3</v>
      </c>
      <c r="L503" s="44" t="s">
        <v>1113</v>
      </c>
      <c r="M503" s="18" t="s">
        <v>3</v>
      </c>
    </row>
    <row r="504" spans="1:13" ht="14" customHeight="1" x14ac:dyDescent="0.3">
      <c r="A504" s="9">
        <v>1</v>
      </c>
      <c r="B504" s="9" t="s">
        <v>0</v>
      </c>
      <c r="C504" s="30" t="s">
        <v>1059</v>
      </c>
      <c r="D504" s="44" t="s">
        <v>231</v>
      </c>
      <c r="E504" s="119" t="s">
        <v>1229</v>
      </c>
      <c r="F504" s="1" t="s">
        <v>1230</v>
      </c>
      <c r="G504" s="49">
        <v>715000</v>
      </c>
      <c r="H504" s="46">
        <v>555000</v>
      </c>
      <c r="I504" s="16">
        <f>Table13[[#This Row],[Publish Rate]]-Table13[[#This Row],[Offering Corporate Rate 2026]]</f>
        <v>160000</v>
      </c>
      <c r="J504" s="76" t="str">
        <f>IF(Table13[[#This Row],[Nilai Selisih]]&gt;100000,"Recommend","Revise")</f>
        <v>Recommend</v>
      </c>
      <c r="K504" s="17" t="s">
        <v>3</v>
      </c>
      <c r="L504" s="44" t="s">
        <v>1134</v>
      </c>
      <c r="M504" s="18" t="s">
        <v>3</v>
      </c>
    </row>
    <row r="505" spans="1:13" ht="14" customHeight="1" x14ac:dyDescent="0.3">
      <c r="A505" s="9">
        <v>1</v>
      </c>
      <c r="B505" s="9" t="s">
        <v>0</v>
      </c>
      <c r="C505" s="30" t="s">
        <v>1059</v>
      </c>
      <c r="D505" s="44" t="s">
        <v>1814</v>
      </c>
      <c r="E505" s="119" t="s">
        <v>1231</v>
      </c>
      <c r="F505" s="1" t="s">
        <v>1232</v>
      </c>
      <c r="G505" s="49">
        <v>600000</v>
      </c>
      <c r="H505" s="46">
        <v>500000</v>
      </c>
      <c r="I505" s="16">
        <f>Table13[[#This Row],[Publish Rate]]-Table13[[#This Row],[Offering Corporate Rate 2026]]</f>
        <v>100000</v>
      </c>
      <c r="J505" s="76" t="str">
        <f>IF(Table13[[#This Row],[Nilai Selisih]]&gt;100000,"Recommend","Revise")</f>
        <v>Revise</v>
      </c>
      <c r="K505" s="17" t="s">
        <v>3</v>
      </c>
      <c r="L505" s="44" t="s">
        <v>1113</v>
      </c>
      <c r="M505" s="18" t="s">
        <v>3</v>
      </c>
    </row>
    <row r="506" spans="1:13" ht="14" customHeight="1" x14ac:dyDescent="0.3">
      <c r="A506" s="9">
        <v>1</v>
      </c>
      <c r="B506" s="9" t="s">
        <v>0</v>
      </c>
      <c r="C506" s="30" t="s">
        <v>1059</v>
      </c>
      <c r="D506" s="44" t="s">
        <v>1807</v>
      </c>
      <c r="E506" s="119" t="s">
        <v>1233</v>
      </c>
      <c r="F506" s="1" t="s">
        <v>1214</v>
      </c>
      <c r="G506" s="49">
        <v>595000</v>
      </c>
      <c r="H506" s="46">
        <v>425000</v>
      </c>
      <c r="I506" s="16">
        <f>Table13[[#This Row],[Publish Rate]]-Table13[[#This Row],[Offering Corporate Rate 2026]]</f>
        <v>170000</v>
      </c>
      <c r="J506" s="76" t="str">
        <f>IF(Table13[[#This Row],[Nilai Selisih]]&gt;100000,"Recommend","Revise")</f>
        <v>Recommend</v>
      </c>
      <c r="K506" s="17" t="s">
        <v>3</v>
      </c>
      <c r="L506" s="44" t="s">
        <v>1234</v>
      </c>
      <c r="M506" s="18" t="s">
        <v>3</v>
      </c>
    </row>
    <row r="507" spans="1:13" ht="14" customHeight="1" x14ac:dyDescent="0.3">
      <c r="A507" s="9">
        <v>1</v>
      </c>
      <c r="B507" s="9" t="s">
        <v>0</v>
      </c>
      <c r="C507" s="30" t="s">
        <v>1059</v>
      </c>
      <c r="D507" s="44" t="s">
        <v>30</v>
      </c>
      <c r="E507" s="119" t="s">
        <v>1235</v>
      </c>
      <c r="F507" s="1" t="s">
        <v>1236</v>
      </c>
      <c r="G507" s="49">
        <v>5119999</v>
      </c>
      <c r="H507" s="46">
        <v>4140000</v>
      </c>
      <c r="I507" s="16">
        <f>Table13[[#This Row],[Publish Rate]]-Table13[[#This Row],[Offering Corporate Rate 2026]]</f>
        <v>979999</v>
      </c>
      <c r="J507" s="76" t="str">
        <f>IF(Table13[[#This Row],[Nilai Selisih]]&gt;100000,"Recommend","Revise")</f>
        <v>Recommend</v>
      </c>
      <c r="K507" s="17" t="s">
        <v>3</v>
      </c>
      <c r="L507" s="44" t="s">
        <v>1843</v>
      </c>
      <c r="M507" s="18" t="s">
        <v>3</v>
      </c>
    </row>
    <row r="508" spans="1:13" ht="14" customHeight="1" x14ac:dyDescent="0.3">
      <c r="A508" s="9">
        <v>1</v>
      </c>
      <c r="B508" s="9" t="s">
        <v>0</v>
      </c>
      <c r="C508" s="30" t="s">
        <v>1059</v>
      </c>
      <c r="D508" s="44" t="s">
        <v>30</v>
      </c>
      <c r="E508" s="119" t="s">
        <v>1237</v>
      </c>
      <c r="F508" s="1" t="s">
        <v>1238</v>
      </c>
      <c r="G508" s="49">
        <v>710000</v>
      </c>
      <c r="H508" s="46">
        <v>580000</v>
      </c>
      <c r="I508" s="16">
        <f>Table13[[#This Row],[Publish Rate]]-Table13[[#This Row],[Offering Corporate Rate 2026]]</f>
        <v>130000</v>
      </c>
      <c r="J508" s="76" t="str">
        <f>IF(Table13[[#This Row],[Nilai Selisih]]&gt;100000,"Recommend","Revise")</f>
        <v>Recommend</v>
      </c>
      <c r="K508" s="17" t="s">
        <v>3</v>
      </c>
      <c r="L508" s="44" t="s">
        <v>1113</v>
      </c>
      <c r="M508" s="18" t="s">
        <v>3</v>
      </c>
    </row>
    <row r="509" spans="1:13" ht="14" customHeight="1" thickBot="1" x14ac:dyDescent="0.35">
      <c r="A509" s="9">
        <v>1</v>
      </c>
      <c r="B509" s="9" t="s">
        <v>0</v>
      </c>
      <c r="C509" s="30" t="s">
        <v>1059</v>
      </c>
      <c r="D509" s="44" t="s">
        <v>30</v>
      </c>
      <c r="E509" s="119" t="s">
        <v>1239</v>
      </c>
      <c r="F509" s="120" t="s">
        <v>1240</v>
      </c>
      <c r="G509" s="49">
        <v>1360000</v>
      </c>
      <c r="H509" s="46">
        <v>1142000</v>
      </c>
      <c r="I509" s="16">
        <f>Table13[[#This Row],[Publish Rate]]-Table13[[#This Row],[Offering Corporate Rate 2026]]</f>
        <v>218000</v>
      </c>
      <c r="J509" s="76" t="str">
        <f>IF(Table13[[#This Row],[Nilai Selisih]]&gt;100000,"Recommend","Revise")</f>
        <v>Recommend</v>
      </c>
      <c r="K509" s="17" t="s">
        <v>3</v>
      </c>
      <c r="L509" s="44" t="s">
        <v>1113</v>
      </c>
      <c r="M509" s="18" t="s">
        <v>3</v>
      </c>
    </row>
    <row r="510" spans="1:13" ht="14" customHeight="1" thickTop="1" x14ac:dyDescent="0.3">
      <c r="A510" s="9">
        <v>1</v>
      </c>
      <c r="B510" s="9" t="s">
        <v>0</v>
      </c>
      <c r="C510" s="30" t="s">
        <v>1059</v>
      </c>
      <c r="D510" s="44" t="s">
        <v>30</v>
      </c>
      <c r="E510" s="119" t="s">
        <v>1241</v>
      </c>
      <c r="F510" s="1" t="s">
        <v>1242</v>
      </c>
      <c r="G510" s="49">
        <v>623999</v>
      </c>
      <c r="H510" s="46">
        <v>534000</v>
      </c>
      <c r="I510" s="16">
        <f>Table13[[#This Row],[Publish Rate]]-Table13[[#This Row],[Offering Corporate Rate 2026]]</f>
        <v>89999</v>
      </c>
      <c r="J510" s="76" t="str">
        <f>IF(Table13[[#This Row],[Nilai Selisih]]&gt;100000,"Recommend","Revise")</f>
        <v>Revise</v>
      </c>
      <c r="K510" s="17" t="s">
        <v>3</v>
      </c>
      <c r="L510" s="44" t="s">
        <v>1134</v>
      </c>
      <c r="M510" s="18" t="s">
        <v>3</v>
      </c>
    </row>
    <row r="511" spans="1:13" ht="14" customHeight="1" x14ac:dyDescent="0.3">
      <c r="A511" s="9">
        <v>1</v>
      </c>
      <c r="B511" s="9" t="s">
        <v>0</v>
      </c>
      <c r="C511" s="30" t="s">
        <v>1059</v>
      </c>
      <c r="D511" s="44" t="s">
        <v>30</v>
      </c>
      <c r="E511" s="119" t="s">
        <v>1243</v>
      </c>
      <c r="F511" s="1" t="s">
        <v>1244</v>
      </c>
      <c r="G511" s="49">
        <v>825999</v>
      </c>
      <c r="H511" s="46">
        <v>655000</v>
      </c>
      <c r="I511" s="16">
        <f>Table13[[#This Row],[Publish Rate]]-Table13[[#This Row],[Offering Corporate Rate 2026]]</f>
        <v>170999</v>
      </c>
      <c r="J511" s="76" t="str">
        <f>IF(Table13[[#This Row],[Nilai Selisih]]&gt;100000,"Recommend","Revise")</f>
        <v>Recommend</v>
      </c>
      <c r="K511" s="17" t="s">
        <v>3</v>
      </c>
      <c r="L511" s="44" t="s">
        <v>1113</v>
      </c>
      <c r="M511" s="18" t="s">
        <v>3</v>
      </c>
    </row>
    <row r="512" spans="1:13" ht="14" customHeight="1" x14ac:dyDescent="0.3">
      <c r="A512" s="9">
        <v>1</v>
      </c>
      <c r="B512" s="9" t="s">
        <v>0</v>
      </c>
      <c r="C512" s="30" t="s">
        <v>1059</v>
      </c>
      <c r="D512" s="44" t="s">
        <v>30</v>
      </c>
      <c r="E512" s="119" t="s">
        <v>1245</v>
      </c>
      <c r="F512" s="1" t="s">
        <v>1244</v>
      </c>
      <c r="G512" s="49">
        <v>1928999</v>
      </c>
      <c r="H512" s="46">
        <v>1834000</v>
      </c>
      <c r="I512" s="16">
        <f>Table13[[#This Row],[Publish Rate]]-Table13[[#This Row],[Offering Corporate Rate 2026]]</f>
        <v>94999</v>
      </c>
      <c r="J512" s="76" t="str">
        <f>IF(Table13[[#This Row],[Nilai Selisih]]&gt;100000,"Recommend","Revise")</f>
        <v>Revise</v>
      </c>
      <c r="K512" s="17" t="s">
        <v>3</v>
      </c>
      <c r="L512" s="44" t="s">
        <v>1246</v>
      </c>
      <c r="M512" s="18" t="s">
        <v>3</v>
      </c>
    </row>
    <row r="513" spans="1:13" ht="14" customHeight="1" x14ac:dyDescent="0.3">
      <c r="A513" s="9">
        <v>1</v>
      </c>
      <c r="B513" s="9" t="s">
        <v>0</v>
      </c>
      <c r="C513" s="30" t="s">
        <v>1059</v>
      </c>
      <c r="D513" s="44" t="s">
        <v>30</v>
      </c>
      <c r="E513" s="119" t="s">
        <v>1247</v>
      </c>
      <c r="F513" s="1" t="s">
        <v>1244</v>
      </c>
      <c r="G513" s="49">
        <v>776000</v>
      </c>
      <c r="H513" s="46">
        <v>730000</v>
      </c>
      <c r="I513" s="16">
        <f>Table13[[#This Row],[Publish Rate]]-Table13[[#This Row],[Offering Corporate Rate 2026]]</f>
        <v>46000</v>
      </c>
      <c r="J513" s="76" t="str">
        <f>IF(Table13[[#This Row],[Nilai Selisih]]&gt;100000,"Recommend","Revise")</f>
        <v>Revise</v>
      </c>
      <c r="K513" s="17" t="s">
        <v>3</v>
      </c>
      <c r="L513" s="44" t="s">
        <v>1248</v>
      </c>
      <c r="M513" s="18" t="s">
        <v>3</v>
      </c>
    </row>
    <row r="514" spans="1:13" ht="14" customHeight="1" x14ac:dyDescent="0.3">
      <c r="A514" s="9">
        <v>1</v>
      </c>
      <c r="B514" s="9" t="s">
        <v>0</v>
      </c>
      <c r="C514" s="30" t="s">
        <v>1249</v>
      </c>
      <c r="D514" s="10" t="s">
        <v>1811</v>
      </c>
      <c r="E514" s="123" t="s">
        <v>1250</v>
      </c>
      <c r="F514" s="47" t="s">
        <v>1251</v>
      </c>
      <c r="G514" s="49">
        <v>2904000</v>
      </c>
      <c r="H514" s="16">
        <v>1400000</v>
      </c>
      <c r="I514" s="16">
        <f>Table13[[#This Row],[Publish Rate]]-Table13[[#This Row],[Offering Corporate Rate 2026]]</f>
        <v>1504000</v>
      </c>
      <c r="J514" s="76" t="str">
        <f>IF(Table13[[#This Row],[Nilai Selisih]]&gt;100000,"Recommend","Revise")</f>
        <v>Recommend</v>
      </c>
      <c r="K514" s="17" t="s">
        <v>3</v>
      </c>
      <c r="L514" s="10" t="s">
        <v>36</v>
      </c>
      <c r="M514" s="18" t="s">
        <v>3</v>
      </c>
    </row>
    <row r="515" spans="1:13" ht="14" customHeight="1" x14ac:dyDescent="0.3">
      <c r="A515" s="9">
        <v>1</v>
      </c>
      <c r="B515" s="9" t="s">
        <v>0</v>
      </c>
      <c r="C515" s="30" t="s">
        <v>1249</v>
      </c>
      <c r="D515" s="10" t="s">
        <v>1269</v>
      </c>
      <c r="E515" s="123" t="s">
        <v>1252</v>
      </c>
      <c r="F515" s="47" t="s">
        <v>1253</v>
      </c>
      <c r="G515" s="49">
        <v>2178000</v>
      </c>
      <c r="H515" s="16">
        <v>1400000</v>
      </c>
      <c r="I515" s="16">
        <f>Table13[[#This Row],[Publish Rate]]-Table13[[#This Row],[Offering Corporate Rate 2026]]</f>
        <v>778000</v>
      </c>
      <c r="J515" s="76" t="str">
        <f>IF(Table13[[#This Row],[Nilai Selisih]]&gt;100000,"Recommend","Revise")</f>
        <v>Recommend</v>
      </c>
      <c r="K515" s="17" t="s">
        <v>3</v>
      </c>
      <c r="L515" s="10" t="s">
        <v>1841</v>
      </c>
      <c r="M515" s="18" t="s">
        <v>3</v>
      </c>
    </row>
    <row r="516" spans="1:13" ht="14" customHeight="1" x14ac:dyDescent="0.3">
      <c r="A516" s="9">
        <v>1</v>
      </c>
      <c r="B516" s="9" t="s">
        <v>0</v>
      </c>
      <c r="C516" s="30" t="s">
        <v>1249</v>
      </c>
      <c r="D516" s="10" t="s">
        <v>1008</v>
      </c>
      <c r="E516" s="123" t="s">
        <v>1254</v>
      </c>
      <c r="F516" s="47" t="s">
        <v>1255</v>
      </c>
      <c r="G516" s="49">
        <v>2516800</v>
      </c>
      <c r="H516" s="16">
        <v>1800000</v>
      </c>
      <c r="I516" s="16">
        <f>Table13[[#This Row],[Publish Rate]]-Table13[[#This Row],[Offering Corporate Rate 2026]]</f>
        <v>716800</v>
      </c>
      <c r="J516" s="76" t="str">
        <f>IF(Table13[[#This Row],[Nilai Selisih]]&gt;100000,"Recommend","Revise")</f>
        <v>Recommend</v>
      </c>
      <c r="K516" s="17" t="s">
        <v>3</v>
      </c>
      <c r="L516" s="10" t="s">
        <v>1841</v>
      </c>
      <c r="M516" s="18" t="s">
        <v>3</v>
      </c>
    </row>
    <row r="517" spans="1:13" ht="14" customHeight="1" x14ac:dyDescent="0.3">
      <c r="A517" s="9">
        <v>1</v>
      </c>
      <c r="B517" s="9" t="s">
        <v>0</v>
      </c>
      <c r="C517" s="30" t="s">
        <v>1256</v>
      </c>
      <c r="D517" s="10" t="s">
        <v>1808</v>
      </c>
      <c r="E517" s="123" t="s">
        <v>1257</v>
      </c>
      <c r="F517" s="47" t="s">
        <v>1258</v>
      </c>
      <c r="G517" s="49">
        <v>2740000</v>
      </c>
      <c r="H517" s="16">
        <v>1400000</v>
      </c>
      <c r="I517" s="16">
        <f>Table13[[#This Row],[Publish Rate]]-Table13[[#This Row],[Offering Corporate Rate 2026]]</f>
        <v>1340000</v>
      </c>
      <c r="J517" s="76" t="str">
        <f>IF(Table13[[#This Row],[Nilai Selisih]]&gt;100000,"Recommend","Revise")</f>
        <v>Recommend</v>
      </c>
      <c r="K517" s="17" t="s">
        <v>3</v>
      </c>
      <c r="L517" s="10" t="s">
        <v>1259</v>
      </c>
      <c r="M517" s="18" t="s">
        <v>3</v>
      </c>
    </row>
    <row r="518" spans="1:13" ht="14" customHeight="1" x14ac:dyDescent="0.3">
      <c r="A518" s="9">
        <v>1</v>
      </c>
      <c r="B518" s="9" t="s">
        <v>0</v>
      </c>
      <c r="C518" s="30" t="s">
        <v>1260</v>
      </c>
      <c r="D518" s="10" t="s">
        <v>1808</v>
      </c>
      <c r="E518" s="123" t="s">
        <v>1261</v>
      </c>
      <c r="F518" s="47" t="s">
        <v>1262</v>
      </c>
      <c r="G518" s="49">
        <v>2570260</v>
      </c>
      <c r="H518" s="16">
        <v>1450000</v>
      </c>
      <c r="I518" s="16">
        <f>Table13[[#This Row],[Publish Rate]]-Table13[[#This Row],[Offering Corporate Rate 2026]]</f>
        <v>1120260</v>
      </c>
      <c r="J518" s="76" t="str">
        <f>IF(Table13[[#This Row],[Nilai Selisih]]&gt;100000,"Recommend","Revise")</f>
        <v>Recommend</v>
      </c>
      <c r="K518" s="10" t="s">
        <v>29</v>
      </c>
      <c r="L518" s="10" t="s">
        <v>1263</v>
      </c>
      <c r="M518" s="18" t="s">
        <v>3</v>
      </c>
    </row>
    <row r="519" spans="1:13" ht="14" customHeight="1" x14ac:dyDescent="0.3">
      <c r="A519" s="124">
        <v>1</v>
      </c>
      <c r="B519" s="9" t="s">
        <v>0</v>
      </c>
      <c r="C519" s="30" t="s">
        <v>1264</v>
      </c>
      <c r="D519" s="10" t="s">
        <v>1808</v>
      </c>
      <c r="E519" s="123" t="s">
        <v>1261</v>
      </c>
      <c r="F519" s="47" t="s">
        <v>1262</v>
      </c>
      <c r="G519" s="125">
        <v>2173740</v>
      </c>
      <c r="H519" s="125">
        <v>1450000</v>
      </c>
      <c r="I519" s="16">
        <f>Table13[[#This Row],[Publish Rate]]-Table13[[#This Row],[Offering Corporate Rate 2026]]</f>
        <v>723740</v>
      </c>
      <c r="J519" s="76" t="str">
        <f>IF(Table13[[#This Row],[Nilai Selisih]]&gt;20,"Recommend","Revise")</f>
        <v>Recommend</v>
      </c>
      <c r="K519" s="17" t="s">
        <v>3</v>
      </c>
      <c r="L519" s="10" t="s">
        <v>1265</v>
      </c>
      <c r="M519" s="18" t="s">
        <v>3</v>
      </c>
    </row>
    <row r="520" spans="1:13" ht="14" customHeight="1" x14ac:dyDescent="0.3">
      <c r="A520" s="9">
        <v>1</v>
      </c>
      <c r="B520" s="9" t="s">
        <v>1823</v>
      </c>
      <c r="C520" s="30" t="s">
        <v>7</v>
      </c>
      <c r="D520" s="10" t="s">
        <v>1808</v>
      </c>
      <c r="E520" s="126" t="s">
        <v>8</v>
      </c>
      <c r="F520" s="127" t="s">
        <v>1266</v>
      </c>
      <c r="G520" s="34">
        <v>3025000</v>
      </c>
      <c r="H520" s="125">
        <v>2866490</v>
      </c>
      <c r="I520" s="16">
        <f>Table13[[#This Row],[Publish Rate]]-Table13[[#This Row],[Offering Corporate Rate 2026]]</f>
        <v>158510</v>
      </c>
      <c r="J520" s="76" t="str">
        <f>IF(Table13[[#This Row],[Nilai Selisih]]&gt;100000,"Recommend","Revise")</f>
        <v>Recommend</v>
      </c>
      <c r="K520" s="17" t="s">
        <v>3</v>
      </c>
      <c r="L520" s="10" t="s">
        <v>1267</v>
      </c>
      <c r="M520" s="18" t="s">
        <v>3</v>
      </c>
    </row>
    <row r="521" spans="1:13" ht="14" customHeight="1" x14ac:dyDescent="0.3">
      <c r="A521" s="9">
        <v>2</v>
      </c>
      <c r="B521" s="9" t="s">
        <v>1823</v>
      </c>
      <c r="C521" s="30" t="s">
        <v>7</v>
      </c>
      <c r="D521" s="10" t="s">
        <v>724</v>
      </c>
      <c r="E521" s="10" t="s">
        <v>1271</v>
      </c>
      <c r="F521" s="47" t="s">
        <v>1272</v>
      </c>
      <c r="G521" s="49">
        <v>1150000</v>
      </c>
      <c r="H521" s="16">
        <v>835000</v>
      </c>
      <c r="I521" s="16">
        <f>Table13[[#This Row],[Publish Rate]]-Table13[[#This Row],[Offering Corporate Rate 2026]]</f>
        <v>315000</v>
      </c>
      <c r="J521" s="76" t="str">
        <f>IF(Table13[[#This Row],[Nilai Selisih]]&gt;100000,"Recommend","Revise")</f>
        <v>Recommend</v>
      </c>
      <c r="K521" s="17" t="s">
        <v>3</v>
      </c>
      <c r="L521" s="10" t="s">
        <v>1273</v>
      </c>
      <c r="M521" s="18" t="s">
        <v>3</v>
      </c>
    </row>
    <row r="522" spans="1:13" ht="14" customHeight="1" x14ac:dyDescent="0.3">
      <c r="A522" s="9">
        <v>2</v>
      </c>
      <c r="B522" s="9" t="s">
        <v>1823</v>
      </c>
      <c r="C522" s="30" t="s">
        <v>7</v>
      </c>
      <c r="D522" s="10" t="s">
        <v>1808</v>
      </c>
      <c r="E522" s="10" t="s">
        <v>1274</v>
      </c>
      <c r="F522" s="47" t="s">
        <v>1275</v>
      </c>
      <c r="G522" s="49">
        <v>3448500</v>
      </c>
      <c r="H522" s="16">
        <v>1800000</v>
      </c>
      <c r="I522" s="16">
        <f>Table13[[#This Row],[Publish Rate]]-Table13[[#This Row],[Offering Corporate Rate 2026]]</f>
        <v>1648500</v>
      </c>
      <c r="J522" s="76" t="str">
        <f>IF(Table13[[#This Row],[Nilai Selisih]]&gt;100000,"Recommend","Revise")</f>
        <v>Recommend</v>
      </c>
      <c r="K522" s="17" t="s">
        <v>3</v>
      </c>
      <c r="L522" s="10" t="s">
        <v>1276</v>
      </c>
      <c r="M522" s="18" t="s">
        <v>3</v>
      </c>
    </row>
    <row r="523" spans="1:13" ht="14" customHeight="1" x14ac:dyDescent="0.3">
      <c r="A523" s="9">
        <v>2</v>
      </c>
      <c r="B523" s="9" t="s">
        <v>1823</v>
      </c>
      <c r="C523" s="30" t="s">
        <v>7</v>
      </c>
      <c r="D523" s="10" t="s">
        <v>1268</v>
      </c>
      <c r="E523" s="10" t="s">
        <v>9</v>
      </c>
      <c r="F523" s="60" t="s">
        <v>1277</v>
      </c>
      <c r="G523" s="49">
        <v>1573000</v>
      </c>
      <c r="H523" s="16">
        <v>1200000</v>
      </c>
      <c r="I523" s="16">
        <f>Table13[[#This Row],[Publish Rate]]-Table13[[#This Row],[Offering Corporate Rate 2026]]</f>
        <v>373000</v>
      </c>
      <c r="J523" s="76" t="str">
        <f>IF(Table13[[#This Row],[Nilai Selisih]]&gt;100000,"Recommend","Revise")</f>
        <v>Recommend</v>
      </c>
      <c r="K523" s="17" t="s">
        <v>3</v>
      </c>
      <c r="L523" s="10" t="s">
        <v>1278</v>
      </c>
      <c r="M523" s="18" t="s">
        <v>3</v>
      </c>
    </row>
    <row r="524" spans="1:13" ht="14" customHeight="1" x14ac:dyDescent="0.3">
      <c r="A524" s="9">
        <v>2</v>
      </c>
      <c r="B524" s="9" t="s">
        <v>0</v>
      </c>
      <c r="C524" s="10" t="s">
        <v>1279</v>
      </c>
      <c r="D524" s="10" t="s">
        <v>724</v>
      </c>
      <c r="E524" s="10" t="s">
        <v>1280</v>
      </c>
      <c r="F524" s="60" t="s">
        <v>1281</v>
      </c>
      <c r="G524" s="128">
        <v>1748315</v>
      </c>
      <c r="H524" s="16">
        <v>1050000</v>
      </c>
      <c r="I524" s="16">
        <f>Table13[[#This Row],[Publish Rate]]-Table13[[#This Row],[Offering Corporate Rate 2026]]</f>
        <v>698315</v>
      </c>
      <c r="J524" s="76" t="str">
        <f>IF(Table13[[#This Row],[Nilai Selisih]]&gt;100000,"Recommend","Revise")</f>
        <v>Recommend</v>
      </c>
      <c r="K524" s="17" t="s">
        <v>3</v>
      </c>
      <c r="L524" s="10" t="s">
        <v>1282</v>
      </c>
      <c r="M524" s="18" t="s">
        <v>3</v>
      </c>
    </row>
    <row r="525" spans="1:13" ht="14" customHeight="1" x14ac:dyDescent="0.3">
      <c r="A525" s="9">
        <v>2</v>
      </c>
      <c r="B525" s="9" t="s">
        <v>0</v>
      </c>
      <c r="C525" s="30" t="s">
        <v>1279</v>
      </c>
      <c r="D525" s="30" t="s">
        <v>724</v>
      </c>
      <c r="E525" s="30" t="s">
        <v>1283</v>
      </c>
      <c r="F525" s="60" t="s">
        <v>1284</v>
      </c>
      <c r="G525" s="129">
        <v>1230008</v>
      </c>
      <c r="H525" s="52">
        <v>870000</v>
      </c>
      <c r="I525" s="52">
        <f>Table13[[#This Row],[Publish Rate]]-Table13[[#This Row],[Offering Corporate Rate 2026]]</f>
        <v>360008</v>
      </c>
      <c r="J525" s="76" t="str">
        <f>IF(Table13[[#This Row],[Nilai Selisih]]&gt;100000,"Recommend","Revise")</f>
        <v>Recommend</v>
      </c>
      <c r="K525" s="17" t="s">
        <v>3</v>
      </c>
      <c r="L525" s="30" t="s">
        <v>1285</v>
      </c>
      <c r="M525" s="18" t="s">
        <v>3</v>
      </c>
    </row>
    <row r="526" spans="1:13" ht="14" customHeight="1" x14ac:dyDescent="0.3">
      <c r="A526" s="9">
        <v>2</v>
      </c>
      <c r="B526" s="9" t="s">
        <v>1823</v>
      </c>
      <c r="C526" s="30" t="s">
        <v>7</v>
      </c>
      <c r="D526" s="10" t="s">
        <v>1808</v>
      </c>
      <c r="E526" s="11" t="s">
        <v>1286</v>
      </c>
      <c r="F526" s="47" t="s">
        <v>1287</v>
      </c>
      <c r="G526" s="49">
        <v>4235000</v>
      </c>
      <c r="H526" s="16">
        <v>2231405</v>
      </c>
      <c r="I526" s="16">
        <f>Table13[[#This Row],[Publish Rate]]-Table13[[#This Row],[Offering Corporate Rate 2026]]</f>
        <v>2003595</v>
      </c>
      <c r="J526" s="76" t="str">
        <f>IF(Table13[[#This Row],[Nilai Selisih]]&gt;100000,"Recommend","Revise")</f>
        <v>Recommend</v>
      </c>
      <c r="K526" s="17" t="s">
        <v>3</v>
      </c>
      <c r="L526" s="10" t="s">
        <v>36</v>
      </c>
      <c r="M526" s="18" t="s">
        <v>3</v>
      </c>
    </row>
    <row r="527" spans="1:13" ht="14" customHeight="1" x14ac:dyDescent="0.3">
      <c r="A527" s="9">
        <v>2</v>
      </c>
      <c r="B527" s="9" t="s">
        <v>1823</v>
      </c>
      <c r="C527" s="30" t="s">
        <v>7</v>
      </c>
      <c r="D527" s="10" t="s">
        <v>1811</v>
      </c>
      <c r="E527" s="18" t="s">
        <v>1288</v>
      </c>
      <c r="F527" s="47" t="s">
        <v>1289</v>
      </c>
      <c r="G527" s="49">
        <v>1150000</v>
      </c>
      <c r="H527" s="16">
        <v>880000</v>
      </c>
      <c r="I527" s="16">
        <f>Table13[[#This Row],[Publish Rate]]-Table13[[#This Row],[Offering Corporate Rate 2026]]</f>
        <v>270000</v>
      </c>
      <c r="J527" s="76" t="str">
        <f>IF(Table13[[#This Row],[Nilai Selisih]]&gt;100000,"Recommend","Revise")</f>
        <v>Recommend</v>
      </c>
      <c r="K527" s="17" t="s">
        <v>3</v>
      </c>
      <c r="L527" s="10" t="s">
        <v>926</v>
      </c>
      <c r="M527" s="18" t="s">
        <v>3</v>
      </c>
    </row>
    <row r="528" spans="1:13" ht="14" customHeight="1" x14ac:dyDescent="0.3">
      <c r="A528" s="9">
        <v>2</v>
      </c>
      <c r="B528" s="9" t="s">
        <v>0</v>
      </c>
      <c r="C528" s="10" t="s">
        <v>1290</v>
      </c>
      <c r="D528" s="10" t="s">
        <v>724</v>
      </c>
      <c r="E528" s="10" t="s">
        <v>1291</v>
      </c>
      <c r="F528" s="47" t="s">
        <v>1292</v>
      </c>
      <c r="G528" s="49">
        <v>1615000</v>
      </c>
      <c r="H528" s="16">
        <v>1500000</v>
      </c>
      <c r="I528" s="16">
        <f>Table13[[#This Row],[Publish Rate]]-Table13[[#This Row],[Offering Corporate Rate 2026]]</f>
        <v>115000</v>
      </c>
      <c r="J528" s="76" t="str">
        <f>IF(Table13[[#This Row],[Nilai Selisih]]&gt;100000,"Recommend","Revise")</f>
        <v>Recommend</v>
      </c>
      <c r="K528" s="17" t="s">
        <v>3</v>
      </c>
      <c r="L528" s="10" t="s">
        <v>1293</v>
      </c>
      <c r="M528" s="18" t="s">
        <v>3</v>
      </c>
    </row>
    <row r="529" spans="1:13" ht="14" customHeight="1" x14ac:dyDescent="0.3">
      <c r="A529" s="9">
        <v>2</v>
      </c>
      <c r="B529" s="9" t="s">
        <v>0</v>
      </c>
      <c r="C529" s="10" t="s">
        <v>1290</v>
      </c>
      <c r="D529" s="10" t="s">
        <v>30</v>
      </c>
      <c r="E529" s="30" t="s">
        <v>1294</v>
      </c>
      <c r="F529" s="47" t="s">
        <v>1295</v>
      </c>
      <c r="G529" s="49">
        <v>2220296</v>
      </c>
      <c r="H529" s="16">
        <v>1800000</v>
      </c>
      <c r="I529" s="16">
        <f>Table13[[#This Row],[Publish Rate]]-Table13[[#This Row],[Offering Corporate Rate 2026]]</f>
        <v>420296</v>
      </c>
      <c r="J529" s="76" t="str">
        <f>IF(Table13[[#This Row],[Nilai Selisih]]&gt;100000,"Recommend","Revise")</f>
        <v>Recommend</v>
      </c>
      <c r="K529" s="17" t="s">
        <v>3</v>
      </c>
      <c r="L529" s="10" t="s">
        <v>1296</v>
      </c>
      <c r="M529" s="18" t="s">
        <v>3</v>
      </c>
    </row>
    <row r="530" spans="1:13" ht="14" customHeight="1" x14ac:dyDescent="0.3">
      <c r="A530" s="9">
        <v>2</v>
      </c>
      <c r="B530" s="9" t="s">
        <v>0</v>
      </c>
      <c r="C530" s="10" t="s">
        <v>1290</v>
      </c>
      <c r="D530" s="11" t="s">
        <v>724</v>
      </c>
      <c r="E530" s="10" t="s">
        <v>1822</v>
      </c>
      <c r="F530" s="13" t="s">
        <v>1297</v>
      </c>
      <c r="G530" s="49">
        <v>1350000</v>
      </c>
      <c r="H530" s="16">
        <v>1400000</v>
      </c>
      <c r="I530" s="16">
        <f>Table13[[#This Row],[Publish Rate]]-Table13[[#This Row],[Offering Corporate Rate 2026]]</f>
        <v>-50000</v>
      </c>
      <c r="J530" s="76" t="str">
        <f>IF(Table13[[#This Row],[Nilai Selisih]]&gt;100000,"Recommend","Revise")</f>
        <v>Revise</v>
      </c>
      <c r="K530" s="17" t="s">
        <v>3</v>
      </c>
      <c r="L530" s="10" t="s">
        <v>1298</v>
      </c>
      <c r="M530" s="18" t="s">
        <v>3</v>
      </c>
    </row>
    <row r="531" spans="1:13" ht="14" customHeight="1" x14ac:dyDescent="0.3">
      <c r="A531" s="9">
        <v>2</v>
      </c>
      <c r="B531" s="9" t="s">
        <v>0</v>
      </c>
      <c r="C531" s="10" t="s">
        <v>1290</v>
      </c>
      <c r="D531" s="11" t="s">
        <v>1268</v>
      </c>
      <c r="E531" s="10" t="s">
        <v>1299</v>
      </c>
      <c r="F531" s="13" t="s">
        <v>1300</v>
      </c>
      <c r="G531" s="49">
        <v>1673000</v>
      </c>
      <c r="H531" s="16">
        <v>1300000</v>
      </c>
      <c r="I531" s="16">
        <f>Table13[[#This Row],[Publish Rate]]-Table13[[#This Row],[Offering Corporate Rate 2026]]</f>
        <v>373000</v>
      </c>
      <c r="J531" s="76" t="str">
        <f>IF(Table13[[#This Row],[Nilai Selisih]]&gt;100000,"Recommend","Revise")</f>
        <v>Recommend</v>
      </c>
      <c r="K531" s="17" t="s">
        <v>3</v>
      </c>
      <c r="L531" s="10" t="s">
        <v>1301</v>
      </c>
      <c r="M531" s="18" t="s">
        <v>3</v>
      </c>
    </row>
    <row r="532" spans="1:13" ht="14" customHeight="1" x14ac:dyDescent="0.3">
      <c r="A532" s="9">
        <v>2</v>
      </c>
      <c r="B532" s="9" t="s">
        <v>0</v>
      </c>
      <c r="C532" s="10" t="s">
        <v>1302</v>
      </c>
      <c r="D532" s="10" t="s">
        <v>1808</v>
      </c>
      <c r="E532" s="18" t="s">
        <v>1303</v>
      </c>
      <c r="F532" s="47" t="s">
        <v>1304</v>
      </c>
      <c r="G532" s="49">
        <v>1137400</v>
      </c>
      <c r="H532" s="16">
        <v>1200000</v>
      </c>
      <c r="I532" s="16">
        <f>H532-G532</f>
        <v>62600</v>
      </c>
      <c r="J532" s="76" t="s">
        <v>1305</v>
      </c>
      <c r="K532" s="17" t="s">
        <v>3</v>
      </c>
      <c r="L532" s="10" t="s">
        <v>1306</v>
      </c>
      <c r="M532" s="18" t="s">
        <v>3</v>
      </c>
    </row>
    <row r="533" spans="1:13" ht="14" customHeight="1" x14ac:dyDescent="0.3">
      <c r="A533" s="9">
        <v>2</v>
      </c>
      <c r="B533" s="9" t="s">
        <v>0</v>
      </c>
      <c r="C533" s="10" t="s">
        <v>1302</v>
      </c>
      <c r="D533" s="10" t="s">
        <v>30</v>
      </c>
      <c r="E533" s="10" t="s">
        <v>5</v>
      </c>
      <c r="F533" s="47" t="s">
        <v>1307</v>
      </c>
      <c r="G533" s="49">
        <v>1427800</v>
      </c>
      <c r="H533" s="16">
        <v>1300000</v>
      </c>
      <c r="I533" s="16">
        <f>Table13[[#This Row],[Publish Rate]]-Table13[[#This Row],[Offering Corporate Rate 2026]]</f>
        <v>127800</v>
      </c>
      <c r="J533" s="76" t="str">
        <f>IF(Table13[[#This Row],[Nilai Selisih]]&gt;100000,"Recommend","Revise")</f>
        <v>Recommend</v>
      </c>
      <c r="K533" s="17" t="s">
        <v>3</v>
      </c>
      <c r="L533" s="10" t="s">
        <v>1308</v>
      </c>
      <c r="M533" s="18" t="s">
        <v>3</v>
      </c>
    </row>
    <row r="534" spans="1:13" ht="14" customHeight="1" x14ac:dyDescent="0.3">
      <c r="A534" s="9">
        <v>2</v>
      </c>
      <c r="B534" s="9" t="s">
        <v>0</v>
      </c>
      <c r="C534" s="10" t="s">
        <v>1302</v>
      </c>
      <c r="D534" s="10" t="s">
        <v>724</v>
      </c>
      <c r="E534" s="10" t="s">
        <v>1309</v>
      </c>
      <c r="F534" s="47" t="s">
        <v>1307</v>
      </c>
      <c r="G534" s="49">
        <v>1754500</v>
      </c>
      <c r="H534" s="16">
        <v>1694000</v>
      </c>
      <c r="I534" s="16">
        <f>Table13[[#This Row],[Publish Rate]]-Table13[[#This Row],[Offering Corporate Rate 2026]]</f>
        <v>60500</v>
      </c>
      <c r="J534" s="76" t="s">
        <v>1310</v>
      </c>
      <c r="K534" s="17" t="s">
        <v>3</v>
      </c>
      <c r="L534" s="10" t="s">
        <v>1311</v>
      </c>
      <c r="M534" s="18" t="s">
        <v>3</v>
      </c>
    </row>
    <row r="535" spans="1:13" ht="14" customHeight="1" x14ac:dyDescent="0.3">
      <c r="A535" s="9">
        <v>2</v>
      </c>
      <c r="B535" s="9" t="s">
        <v>0</v>
      </c>
      <c r="C535" s="10" t="s">
        <v>1302</v>
      </c>
      <c r="D535" s="10" t="s">
        <v>30</v>
      </c>
      <c r="E535" s="10" t="s">
        <v>1312</v>
      </c>
      <c r="F535" s="47" t="s">
        <v>1307</v>
      </c>
      <c r="G535" s="49">
        <v>4126100</v>
      </c>
      <c r="H535" s="16">
        <v>2800000</v>
      </c>
      <c r="I535" s="16">
        <f>Table13[[#This Row],[Publish Rate]]-Table13[[#This Row],[Offering Corporate Rate 2026]]</f>
        <v>1326100</v>
      </c>
      <c r="J535" s="76" t="str">
        <f>IF(Table13[[#This Row],[Nilai Selisih]]&gt;100000,"Recommend","Revise")</f>
        <v>Recommend</v>
      </c>
      <c r="K535" s="17" t="s">
        <v>3</v>
      </c>
      <c r="L535" s="10" t="s">
        <v>1313</v>
      </c>
      <c r="M535" s="18" t="s">
        <v>3</v>
      </c>
    </row>
    <row r="536" spans="1:13" ht="14" customHeight="1" x14ac:dyDescent="0.3">
      <c r="A536" s="9">
        <v>2</v>
      </c>
      <c r="B536" s="9" t="s">
        <v>1823</v>
      </c>
      <c r="C536" s="30" t="s">
        <v>7</v>
      </c>
      <c r="D536" s="10" t="s">
        <v>1269</v>
      </c>
      <c r="E536" s="10" t="s">
        <v>11</v>
      </c>
      <c r="F536" s="47" t="s">
        <v>1314</v>
      </c>
      <c r="G536" s="49">
        <v>1275000</v>
      </c>
      <c r="H536" s="16">
        <v>1100000</v>
      </c>
      <c r="I536" s="16">
        <f>Table13[[#This Row],[Publish Rate]]-Table13[[#This Row],[Offering Corporate Rate 2026]]</f>
        <v>175000</v>
      </c>
      <c r="J536" s="105" t="str">
        <f>IF(Table13[[#This Row],[Nilai Selisih]]&gt;100000,"Recommend","Revise")</f>
        <v>Recommend</v>
      </c>
      <c r="K536" s="17" t="s">
        <v>3</v>
      </c>
      <c r="L536" s="10" t="s">
        <v>1315</v>
      </c>
      <c r="M536" s="18" t="s">
        <v>3</v>
      </c>
    </row>
    <row r="537" spans="1:13" ht="14" customHeight="1" x14ac:dyDescent="0.3">
      <c r="A537" s="9">
        <v>2</v>
      </c>
      <c r="B537" s="9" t="s">
        <v>1823</v>
      </c>
      <c r="C537" s="30" t="s">
        <v>7</v>
      </c>
      <c r="D537" s="10" t="s">
        <v>1808</v>
      </c>
      <c r="E537" s="10" t="s">
        <v>1316</v>
      </c>
      <c r="F537" s="47" t="s">
        <v>1317</v>
      </c>
      <c r="G537" s="50">
        <v>3569500</v>
      </c>
      <c r="H537" s="16">
        <v>2400000</v>
      </c>
      <c r="I537" s="16">
        <f>Table13[[#This Row],[Publish Rate]]-Table13[[#This Row],[Offering Corporate Rate 2026]]</f>
        <v>1169500</v>
      </c>
      <c r="J537" s="76" t="str">
        <f>IF(Table13[[#This Row],[Nilai Selisih]]&gt;100000,"Recommend","Revise")</f>
        <v>Recommend</v>
      </c>
      <c r="K537" s="17" t="s">
        <v>3</v>
      </c>
      <c r="L537" s="10" t="s">
        <v>1318</v>
      </c>
      <c r="M537" s="18" t="s">
        <v>3</v>
      </c>
    </row>
    <row r="538" spans="1:13" ht="14" customHeight="1" x14ac:dyDescent="0.3">
      <c r="A538" s="9">
        <v>2</v>
      </c>
      <c r="B538" s="9" t="s">
        <v>1823</v>
      </c>
      <c r="C538" s="30" t="s">
        <v>7</v>
      </c>
      <c r="D538" s="10" t="s">
        <v>1808</v>
      </c>
      <c r="E538" s="10" t="s">
        <v>1319</v>
      </c>
      <c r="F538" s="47" t="s">
        <v>1320</v>
      </c>
      <c r="G538" s="49">
        <v>5868500</v>
      </c>
      <c r="H538" s="16">
        <v>1800000</v>
      </c>
      <c r="I538" s="16">
        <f>Table13[[#This Row],[Publish Rate]]-Table13[[#This Row],[Offering Corporate Rate 2026]]</f>
        <v>4068500</v>
      </c>
      <c r="J538" s="76" t="str">
        <f>IF(Table13[[#This Row],[Nilai Selisih]]&gt;100000,"Recommend","Revise")</f>
        <v>Recommend</v>
      </c>
      <c r="K538" s="17" t="s">
        <v>3</v>
      </c>
      <c r="L538" s="10" t="s">
        <v>1321</v>
      </c>
      <c r="M538" s="18" t="s">
        <v>3</v>
      </c>
    </row>
    <row r="539" spans="1:13" ht="14" customHeight="1" x14ac:dyDescent="0.3">
      <c r="A539" s="9">
        <v>2</v>
      </c>
      <c r="B539" s="9" t="s">
        <v>0</v>
      </c>
      <c r="C539" s="10" t="s">
        <v>1322</v>
      </c>
      <c r="D539" s="10" t="s">
        <v>1268</v>
      </c>
      <c r="E539" s="10" t="s">
        <v>1323</v>
      </c>
      <c r="F539" s="47" t="s">
        <v>1324</v>
      </c>
      <c r="G539" s="49">
        <v>3042394</v>
      </c>
      <c r="H539" s="16">
        <v>1200000</v>
      </c>
      <c r="I539" s="16">
        <f>Table13[[#This Row],[Publish Rate]]-Table13[[#This Row],[Offering Corporate Rate 2026]]</f>
        <v>1842394</v>
      </c>
      <c r="J539" s="76" t="str">
        <f>IF(Table13[[#This Row],[Nilai Selisih]]&gt;100000,"Recommend","Revise")</f>
        <v>Recommend</v>
      </c>
      <c r="K539" s="17" t="s">
        <v>3</v>
      </c>
      <c r="L539" s="10" t="s">
        <v>1325</v>
      </c>
      <c r="M539" s="18" t="s">
        <v>3</v>
      </c>
    </row>
    <row r="540" spans="1:13" ht="14" customHeight="1" x14ac:dyDescent="0.3">
      <c r="A540" s="9">
        <v>2</v>
      </c>
      <c r="B540" s="9" t="s">
        <v>1823</v>
      </c>
      <c r="C540" s="10" t="s">
        <v>7</v>
      </c>
      <c r="D540" s="10" t="s">
        <v>1813</v>
      </c>
      <c r="E540" s="10" t="s">
        <v>10</v>
      </c>
      <c r="F540" s="47" t="s">
        <v>1326</v>
      </c>
      <c r="G540" s="49">
        <v>1379999</v>
      </c>
      <c r="H540" s="16">
        <v>985000</v>
      </c>
      <c r="I540" s="16">
        <f>Table13[[#This Row],[Publish Rate]]-Table13[[#This Row],[Offering Corporate Rate 2026]]</f>
        <v>394999</v>
      </c>
      <c r="J540" s="76" t="str">
        <f>IF(Table13[[#This Row],[Nilai Selisih]]&gt;100000,"Recommend","Revise")</f>
        <v>Recommend</v>
      </c>
      <c r="K540" s="17" t="s">
        <v>3</v>
      </c>
      <c r="L540" s="10" t="s">
        <v>1327</v>
      </c>
      <c r="M540" s="18" t="s">
        <v>3</v>
      </c>
    </row>
    <row r="541" spans="1:13" ht="14" customHeight="1" x14ac:dyDescent="0.3">
      <c r="A541" s="9">
        <v>2</v>
      </c>
      <c r="B541" s="9" t="s">
        <v>1823</v>
      </c>
      <c r="C541" s="10" t="s">
        <v>7</v>
      </c>
      <c r="D541" s="30" t="s">
        <v>1812</v>
      </c>
      <c r="E541" s="30" t="s">
        <v>1328</v>
      </c>
      <c r="F541" s="60" t="s">
        <v>1329</v>
      </c>
      <c r="G541" s="61">
        <v>1522344</v>
      </c>
      <c r="H541" s="52">
        <v>1318000</v>
      </c>
      <c r="I541" s="52">
        <f>Table13[[#This Row],[Publish Rate]]-Table13[[#This Row],[Offering Corporate Rate 2026]]</f>
        <v>204344</v>
      </c>
      <c r="J541" s="76" t="str">
        <f>IF(Table13[[#This Row],[Nilai Selisih]]&gt;100000,"Recommend","Revise")</f>
        <v>Recommend</v>
      </c>
      <c r="K541" s="17" t="s">
        <v>3</v>
      </c>
      <c r="L541" s="30" t="s">
        <v>1330</v>
      </c>
      <c r="M541" s="18" t="s">
        <v>3</v>
      </c>
    </row>
    <row r="542" spans="1:13" ht="14" customHeight="1" x14ac:dyDescent="0.3">
      <c r="A542" s="9">
        <v>2</v>
      </c>
      <c r="B542" s="9" t="s">
        <v>0</v>
      </c>
      <c r="C542" s="10" t="s">
        <v>1331</v>
      </c>
      <c r="D542" s="10" t="s">
        <v>1804</v>
      </c>
      <c r="E542" s="10" t="s">
        <v>1332</v>
      </c>
      <c r="F542" s="47" t="s">
        <v>1333</v>
      </c>
      <c r="G542" s="49">
        <v>1402245</v>
      </c>
      <c r="H542" s="16">
        <v>1116343</v>
      </c>
      <c r="I542" s="16">
        <f>Table13[[#This Row],[Publish Rate]]-Table13[[#This Row],[Offering Corporate Rate 2026]]</f>
        <v>285902</v>
      </c>
      <c r="J542" s="76" t="str">
        <f>IF(Table13[[#This Row],[Nilai Selisih]]&gt;100000,"Recommend","Revise")</f>
        <v>Recommend</v>
      </c>
      <c r="K542" s="17" t="s">
        <v>3</v>
      </c>
      <c r="L542" s="10" t="s">
        <v>1334</v>
      </c>
      <c r="M542" s="18" t="s">
        <v>3</v>
      </c>
    </row>
    <row r="543" spans="1:13" ht="14" customHeight="1" x14ac:dyDescent="0.3">
      <c r="A543" s="9">
        <v>2</v>
      </c>
      <c r="B543" s="9" t="s">
        <v>0</v>
      </c>
      <c r="C543" s="64" t="s">
        <v>1331</v>
      </c>
      <c r="D543" s="130" t="s">
        <v>743</v>
      </c>
      <c r="E543" s="130" t="s">
        <v>1335</v>
      </c>
      <c r="F543" s="131" t="s">
        <v>1336</v>
      </c>
      <c r="G543" s="58">
        <v>1863061</v>
      </c>
      <c r="H543" s="132">
        <v>1038991</v>
      </c>
      <c r="I543" s="132">
        <f>Table13[[#This Row],[Publish Rate]]-Table13[[#This Row],[Offering Corporate Rate 2026]]</f>
        <v>824070</v>
      </c>
      <c r="J543" s="76" t="str">
        <f>IF(Table13[[#This Row],[Nilai Selisih]]&gt;100000,"Recommend","Revise")</f>
        <v>Recommend</v>
      </c>
      <c r="K543" s="17" t="s">
        <v>3</v>
      </c>
      <c r="L543" s="64" t="s">
        <v>1337</v>
      </c>
      <c r="M543" s="18" t="s">
        <v>3</v>
      </c>
    </row>
    <row r="544" spans="1:13" ht="14" customHeight="1" x14ac:dyDescent="0.3">
      <c r="A544" s="9">
        <v>2</v>
      </c>
      <c r="B544" s="9" t="s">
        <v>1823</v>
      </c>
      <c r="C544" s="10" t="s">
        <v>7</v>
      </c>
      <c r="D544" s="134" t="s">
        <v>1811</v>
      </c>
      <c r="E544" s="134" t="s">
        <v>1338</v>
      </c>
      <c r="F544" s="135" t="s">
        <v>1339</v>
      </c>
      <c r="G544" s="136">
        <v>1509302</v>
      </c>
      <c r="H544" s="137">
        <v>1200000</v>
      </c>
      <c r="I544" s="137">
        <f>Table13[[#This Row],[Publish Rate]]-Table13[[#This Row],[Offering Corporate Rate 2026]]</f>
        <v>309302</v>
      </c>
      <c r="J544" s="76" t="str">
        <f>IF(Table13[[#This Row],[Nilai Selisih]]&gt;100000,"Recommend","Revise")</f>
        <v>Recommend</v>
      </c>
      <c r="K544" s="17" t="s">
        <v>3</v>
      </c>
      <c r="L544" s="133" t="s">
        <v>1340</v>
      </c>
      <c r="M544" s="18" t="s">
        <v>3</v>
      </c>
    </row>
    <row r="545" spans="1:13" ht="14" customHeight="1" x14ac:dyDescent="0.3">
      <c r="A545" s="9">
        <v>2</v>
      </c>
      <c r="B545" s="9" t="s">
        <v>1823</v>
      </c>
      <c r="C545" s="10" t="s">
        <v>7</v>
      </c>
      <c r="D545" s="134" t="s">
        <v>1811</v>
      </c>
      <c r="E545" s="134" t="s">
        <v>1341</v>
      </c>
      <c r="F545" s="135" t="s">
        <v>1342</v>
      </c>
      <c r="G545" s="136">
        <v>1248000</v>
      </c>
      <c r="H545" s="137">
        <v>909000</v>
      </c>
      <c r="I545" s="137">
        <f>Table13[[#This Row],[Publish Rate]]-Table13[[#This Row],[Offering Corporate Rate 2026]]</f>
        <v>339000</v>
      </c>
      <c r="J545" s="76" t="str">
        <f>IF(Table13[[#This Row],[Nilai Selisih]]&gt;100000,"Recommend","Revise")</f>
        <v>Recommend</v>
      </c>
      <c r="K545" s="17" t="s">
        <v>3</v>
      </c>
      <c r="L545" s="138" t="s">
        <v>29</v>
      </c>
      <c r="M545" s="18" t="s">
        <v>3</v>
      </c>
    </row>
    <row r="546" spans="1:13" ht="14" customHeight="1" x14ac:dyDescent="0.3">
      <c r="A546" s="9">
        <v>2</v>
      </c>
      <c r="B546" s="9" t="s">
        <v>1823</v>
      </c>
      <c r="C546" s="10" t="s">
        <v>7</v>
      </c>
      <c r="D546" s="134" t="s">
        <v>1808</v>
      </c>
      <c r="E546" s="134" t="s">
        <v>13</v>
      </c>
      <c r="F546" s="135" t="s">
        <v>1343</v>
      </c>
      <c r="G546" s="136">
        <v>1585080</v>
      </c>
      <c r="H546" s="137">
        <v>1212120</v>
      </c>
      <c r="I546" s="137">
        <f>Table13[[#This Row],[Publish Rate]]-Table13[[#This Row],[Offering Corporate Rate 2026]]</f>
        <v>372960</v>
      </c>
      <c r="J546" s="76" t="str">
        <f>IF(Table13[[#This Row],[Nilai Selisih]]&gt;100000,"Recommend","Revise")</f>
        <v>Recommend</v>
      </c>
      <c r="K546" s="17" t="s">
        <v>3</v>
      </c>
      <c r="L546" s="133" t="s">
        <v>1344</v>
      </c>
      <c r="M546" s="18" t="s">
        <v>3</v>
      </c>
    </row>
    <row r="547" spans="1:13" ht="14" customHeight="1" x14ac:dyDescent="0.3">
      <c r="A547" s="9">
        <v>2</v>
      </c>
      <c r="B547" s="9" t="s">
        <v>0</v>
      </c>
      <c r="C547" s="133" t="s">
        <v>1345</v>
      </c>
      <c r="D547" s="134" t="s">
        <v>30</v>
      </c>
      <c r="E547" s="134" t="s">
        <v>1346</v>
      </c>
      <c r="F547" s="135" t="s">
        <v>1347</v>
      </c>
      <c r="G547" s="139">
        <v>7698500</v>
      </c>
      <c r="H547" s="137">
        <v>2450000</v>
      </c>
      <c r="I547" s="137">
        <f>Table13[[#This Row],[Publish Rate]]-Table13[[#This Row],[Offering Corporate Rate 2026]]</f>
        <v>5248500</v>
      </c>
      <c r="J547" s="76" t="str">
        <f>IF(Table13[[#This Row],[Nilai Selisih]]&gt;100000,"Recommend","Revise")</f>
        <v>Recommend</v>
      </c>
      <c r="K547" s="17" t="s">
        <v>3</v>
      </c>
      <c r="L547" s="133" t="s">
        <v>1348</v>
      </c>
      <c r="M547" s="18" t="s">
        <v>3</v>
      </c>
    </row>
    <row r="548" spans="1:13" ht="14" customHeight="1" x14ac:dyDescent="0.3">
      <c r="A548" s="9">
        <v>2</v>
      </c>
      <c r="B548" s="9" t="s">
        <v>0</v>
      </c>
      <c r="C548" s="133" t="s">
        <v>1345</v>
      </c>
      <c r="D548" s="134" t="s">
        <v>30</v>
      </c>
      <c r="E548" s="134" t="s">
        <v>1349</v>
      </c>
      <c r="F548" s="135" t="s">
        <v>1347</v>
      </c>
      <c r="G548" s="139">
        <v>7248700</v>
      </c>
      <c r="H548" s="137">
        <v>3300000</v>
      </c>
      <c r="I548" s="137">
        <f>Table13[[#This Row],[Publish Rate]]-Table13[[#This Row],[Offering Corporate Rate 2026]]</f>
        <v>3948700</v>
      </c>
      <c r="J548" s="76" t="str">
        <f>IF(Table13[[#This Row],[Nilai Selisih]]&gt;100000,"Recommend","Revise")</f>
        <v>Recommend</v>
      </c>
      <c r="K548" s="17" t="s">
        <v>3</v>
      </c>
      <c r="L548" s="133" t="s">
        <v>1350</v>
      </c>
      <c r="M548" s="18" t="s">
        <v>3</v>
      </c>
    </row>
    <row r="549" spans="1:13" ht="14" customHeight="1" x14ac:dyDescent="0.3">
      <c r="A549" s="9">
        <v>2</v>
      </c>
      <c r="B549" s="9" t="s">
        <v>0</v>
      </c>
      <c r="C549" s="140" t="s">
        <v>4</v>
      </c>
      <c r="D549" s="141" t="s">
        <v>1008</v>
      </c>
      <c r="E549" s="141" t="s">
        <v>1351</v>
      </c>
      <c r="F549" s="142" t="s">
        <v>1352</v>
      </c>
      <c r="G549" s="143">
        <v>2850000</v>
      </c>
      <c r="H549" s="144">
        <v>870000</v>
      </c>
      <c r="I549" s="144">
        <v>1980000</v>
      </c>
      <c r="J549" s="76" t="str">
        <f>IF(Table13[[#This Row],[Nilai Selisih]]&gt;100000,"Recommend","Revise")</f>
        <v>Recommend</v>
      </c>
      <c r="K549" s="17" t="s">
        <v>3</v>
      </c>
      <c r="L549" s="140" t="s">
        <v>1353</v>
      </c>
      <c r="M549" s="145" t="s">
        <v>3</v>
      </c>
    </row>
    <row r="550" spans="1:13" ht="14" customHeight="1" x14ac:dyDescent="0.3">
      <c r="A550" s="9">
        <v>2</v>
      </c>
      <c r="B550" s="9" t="s">
        <v>0</v>
      </c>
      <c r="C550" s="140" t="s">
        <v>4</v>
      </c>
      <c r="D550" s="141" t="s">
        <v>1008</v>
      </c>
      <c r="E550" s="141" t="s">
        <v>1354</v>
      </c>
      <c r="F550" s="142" t="s">
        <v>1355</v>
      </c>
      <c r="G550" s="143">
        <v>1261870</v>
      </c>
      <c r="H550" s="144">
        <v>905000</v>
      </c>
      <c r="I550" s="144">
        <v>356870</v>
      </c>
      <c r="J550" s="76" t="str">
        <f>IF(Table13[[#This Row],[Nilai Selisih]]&gt;100000,"Recommend","Revise")</f>
        <v>Recommend</v>
      </c>
      <c r="K550" s="17" t="s">
        <v>3</v>
      </c>
      <c r="L550" s="140" t="s">
        <v>3</v>
      </c>
      <c r="M550" s="145" t="s">
        <v>3</v>
      </c>
    </row>
    <row r="551" spans="1:13" ht="14" customHeight="1" x14ac:dyDescent="0.3">
      <c r="A551" s="9">
        <v>2</v>
      </c>
      <c r="B551" s="9" t="s">
        <v>0</v>
      </c>
      <c r="C551" s="140" t="s">
        <v>4</v>
      </c>
      <c r="D551" s="141" t="s">
        <v>1008</v>
      </c>
      <c r="E551" s="141" t="s">
        <v>1356</v>
      </c>
      <c r="F551" s="142" t="s">
        <v>1357</v>
      </c>
      <c r="G551" s="143">
        <v>1264538</v>
      </c>
      <c r="H551" s="144">
        <v>880000</v>
      </c>
      <c r="I551" s="144">
        <v>384538</v>
      </c>
      <c r="J551" s="76" t="str">
        <f>IF(Table13[[#This Row],[Nilai Selisih]]&gt;100000,"Recommend","Revise")</f>
        <v>Recommend</v>
      </c>
      <c r="K551" s="17" t="s">
        <v>3</v>
      </c>
      <c r="L551" s="140" t="s">
        <v>3</v>
      </c>
      <c r="M551" s="145" t="s">
        <v>3</v>
      </c>
    </row>
    <row r="552" spans="1:13" ht="14" customHeight="1" x14ac:dyDescent="0.3">
      <c r="A552" s="9">
        <v>2</v>
      </c>
      <c r="B552" s="9" t="s">
        <v>0</v>
      </c>
      <c r="C552" s="140" t="s">
        <v>4</v>
      </c>
      <c r="D552" s="141" t="s">
        <v>1808</v>
      </c>
      <c r="E552" s="141" t="s">
        <v>1358</v>
      </c>
      <c r="F552" s="142" t="s">
        <v>1359</v>
      </c>
      <c r="G552" s="143">
        <v>1346447</v>
      </c>
      <c r="H552" s="144">
        <v>1120000</v>
      </c>
      <c r="I552" s="144">
        <v>226447</v>
      </c>
      <c r="J552" s="76" t="str">
        <f>IF(Table13[[#This Row],[Nilai Selisih]]&gt;100000,"Recommend","Revise")</f>
        <v>Recommend</v>
      </c>
      <c r="K552" s="17" t="s">
        <v>3</v>
      </c>
      <c r="L552" s="140" t="s">
        <v>3</v>
      </c>
      <c r="M552" s="145" t="s">
        <v>3</v>
      </c>
    </row>
    <row r="553" spans="1:13" ht="14" customHeight="1" x14ac:dyDescent="0.3">
      <c r="A553" s="9">
        <v>2</v>
      </c>
      <c r="B553" s="9" t="s">
        <v>0</v>
      </c>
      <c r="C553" s="140" t="s">
        <v>4</v>
      </c>
      <c r="D553" s="141" t="s">
        <v>1808</v>
      </c>
      <c r="E553" s="141" t="s">
        <v>1360</v>
      </c>
      <c r="F553" s="142" t="s">
        <v>1361</v>
      </c>
      <c r="G553" s="143">
        <v>921166</v>
      </c>
      <c r="H553" s="144">
        <v>780000</v>
      </c>
      <c r="I553" s="144">
        <v>141166</v>
      </c>
      <c r="J553" s="76" t="str">
        <f>IF(Table13[[#This Row],[Nilai Selisih]]&gt;100000,"Recommend","Revise")</f>
        <v>Recommend</v>
      </c>
      <c r="K553" s="17" t="s">
        <v>3</v>
      </c>
      <c r="L553" s="140" t="s">
        <v>3</v>
      </c>
      <c r="M553" s="145" t="s">
        <v>3</v>
      </c>
    </row>
    <row r="554" spans="1:13" ht="14" customHeight="1" x14ac:dyDescent="0.3">
      <c r="A554" s="9">
        <v>2</v>
      </c>
      <c r="B554" s="9" t="s">
        <v>0</v>
      </c>
      <c r="C554" s="140" t="s">
        <v>4</v>
      </c>
      <c r="D554" s="141" t="s">
        <v>1808</v>
      </c>
      <c r="E554" s="141" t="s">
        <v>1362</v>
      </c>
      <c r="F554" s="142" t="s">
        <v>1363</v>
      </c>
      <c r="G554" s="143">
        <v>1016760</v>
      </c>
      <c r="H554" s="144">
        <v>750000</v>
      </c>
      <c r="I554" s="144">
        <v>266760</v>
      </c>
      <c r="J554" s="76" t="str">
        <f>IF(Table13[[#This Row],[Nilai Selisih]]&gt;100000,"Recommend","Revise")</f>
        <v>Recommend</v>
      </c>
      <c r="K554" s="17" t="s">
        <v>3</v>
      </c>
      <c r="L554" s="140" t="s">
        <v>3</v>
      </c>
      <c r="M554" s="145" t="s">
        <v>3</v>
      </c>
    </row>
    <row r="555" spans="1:13" ht="14" customHeight="1" x14ac:dyDescent="0.3">
      <c r="A555" s="9">
        <v>2</v>
      </c>
      <c r="B555" s="9" t="s">
        <v>0</v>
      </c>
      <c r="C555" s="140" t="s">
        <v>4</v>
      </c>
      <c r="D555" s="141" t="s">
        <v>1808</v>
      </c>
      <c r="E555" s="141" t="s">
        <v>1364</v>
      </c>
      <c r="F555" s="142" t="s">
        <v>1365</v>
      </c>
      <c r="G555" s="143">
        <v>569361</v>
      </c>
      <c r="H555" s="144">
        <v>570000</v>
      </c>
      <c r="I555" s="144">
        <v>-639</v>
      </c>
      <c r="J555" s="76" t="str">
        <f>IF(Table13[[#This Row],[Nilai Selisih]]&gt;100000,"Recommend","Revise")</f>
        <v>Revise</v>
      </c>
      <c r="K555" s="17" t="s">
        <v>3</v>
      </c>
      <c r="L555" s="140" t="s">
        <v>3</v>
      </c>
      <c r="M555" s="145" t="s">
        <v>3</v>
      </c>
    </row>
    <row r="556" spans="1:13" ht="14" customHeight="1" x14ac:dyDescent="0.3">
      <c r="A556" s="9">
        <v>2</v>
      </c>
      <c r="B556" s="9" t="s">
        <v>0</v>
      </c>
      <c r="C556" s="140" t="s">
        <v>4</v>
      </c>
      <c r="D556" s="141" t="s">
        <v>1808</v>
      </c>
      <c r="E556" s="141" t="s">
        <v>1366</v>
      </c>
      <c r="F556" s="142" t="s">
        <v>1367</v>
      </c>
      <c r="G556" s="143">
        <v>549995</v>
      </c>
      <c r="H556" s="144">
        <v>440000</v>
      </c>
      <c r="I556" s="144">
        <v>109995</v>
      </c>
      <c r="J556" s="76" t="str">
        <f>IF(Table13[[#This Row],[Nilai Selisih]]&gt;100000,"Recommend","Revise")</f>
        <v>Recommend</v>
      </c>
      <c r="K556" s="17" t="s">
        <v>3</v>
      </c>
      <c r="L556" s="140" t="s">
        <v>3</v>
      </c>
      <c r="M556" s="145" t="s">
        <v>3</v>
      </c>
    </row>
    <row r="557" spans="1:13" ht="14" customHeight="1" x14ac:dyDescent="0.3">
      <c r="A557" s="9">
        <v>2</v>
      </c>
      <c r="B557" s="9" t="s">
        <v>0</v>
      </c>
      <c r="C557" s="140" t="s">
        <v>4</v>
      </c>
      <c r="D557" s="141" t="s">
        <v>1808</v>
      </c>
      <c r="E557" s="141" t="s">
        <v>1368</v>
      </c>
      <c r="F557" s="142" t="s">
        <v>1369</v>
      </c>
      <c r="G557" s="143">
        <v>819596</v>
      </c>
      <c r="H557" s="144">
        <v>630000</v>
      </c>
      <c r="I557" s="144">
        <v>189596</v>
      </c>
      <c r="J557" s="76" t="str">
        <f>IF(Table13[[#This Row],[Nilai Selisih]]&gt;100000,"Recommend","Revise")</f>
        <v>Recommend</v>
      </c>
      <c r="K557" s="17" t="s">
        <v>3</v>
      </c>
      <c r="L557" s="140" t="s">
        <v>3</v>
      </c>
      <c r="M557" s="145" t="s">
        <v>3</v>
      </c>
    </row>
    <row r="558" spans="1:13" ht="14" customHeight="1" x14ac:dyDescent="0.3">
      <c r="A558" s="9">
        <v>2</v>
      </c>
      <c r="B558" s="9" t="s">
        <v>0</v>
      </c>
      <c r="C558" s="140" t="s">
        <v>4</v>
      </c>
      <c r="D558" s="141" t="s">
        <v>1808</v>
      </c>
      <c r="E558" s="141" t="s">
        <v>1370</v>
      </c>
      <c r="F558" s="142" t="s">
        <v>1371</v>
      </c>
      <c r="G558" s="143">
        <v>667599</v>
      </c>
      <c r="H558" s="144">
        <v>625000</v>
      </c>
      <c r="I558" s="144">
        <v>42599</v>
      </c>
      <c r="J558" s="76" t="str">
        <f>IF(Table13[[#This Row],[Nilai Selisih]]&gt;100000,"Recommend","Revise")</f>
        <v>Revise</v>
      </c>
      <c r="K558" s="17" t="s">
        <v>3</v>
      </c>
      <c r="L558" s="140" t="s">
        <v>3</v>
      </c>
      <c r="M558" s="145" t="s">
        <v>3</v>
      </c>
    </row>
    <row r="559" spans="1:13" ht="14" customHeight="1" x14ac:dyDescent="0.3">
      <c r="A559" s="9">
        <v>2</v>
      </c>
      <c r="B559" s="9" t="s">
        <v>0</v>
      </c>
      <c r="C559" s="140" t="s">
        <v>4</v>
      </c>
      <c r="D559" s="146" t="s">
        <v>1808</v>
      </c>
      <c r="E559" s="141" t="s">
        <v>1372</v>
      </c>
      <c r="F559" s="142" t="s">
        <v>1373</v>
      </c>
      <c r="G559" s="143">
        <v>939628</v>
      </c>
      <c r="H559" s="144">
        <v>615000</v>
      </c>
      <c r="I559" s="144">
        <v>324628</v>
      </c>
      <c r="J559" s="76" t="str">
        <f>IF(Table13[[#This Row],[Nilai Selisih]]&gt;100000,"Recommend","Revise")</f>
        <v>Recommend</v>
      </c>
      <c r="K559" s="17" t="s">
        <v>3</v>
      </c>
      <c r="L559" s="140" t="s">
        <v>3</v>
      </c>
      <c r="M559" s="145" t="s">
        <v>3</v>
      </c>
    </row>
    <row r="560" spans="1:13" ht="14" customHeight="1" x14ac:dyDescent="0.3">
      <c r="A560" s="9">
        <v>2</v>
      </c>
      <c r="B560" s="9" t="s">
        <v>0</v>
      </c>
      <c r="C560" s="140" t="s">
        <v>4</v>
      </c>
      <c r="D560" s="141" t="s">
        <v>1808</v>
      </c>
      <c r="E560" s="141" t="s">
        <v>1374</v>
      </c>
      <c r="F560" s="142" t="s">
        <v>1375</v>
      </c>
      <c r="G560" s="143">
        <v>712616</v>
      </c>
      <c r="H560" s="144">
        <v>545000</v>
      </c>
      <c r="I560" s="144">
        <v>167616</v>
      </c>
      <c r="J560" s="76" t="str">
        <f>IF(Table13[[#This Row],[Nilai Selisih]]&gt;100000,"Recommend","Revise")</f>
        <v>Recommend</v>
      </c>
      <c r="K560" s="17" t="s">
        <v>3</v>
      </c>
      <c r="L560" s="140" t="s">
        <v>3</v>
      </c>
      <c r="M560" s="145" t="s">
        <v>3</v>
      </c>
    </row>
    <row r="561" spans="1:13" ht="14" customHeight="1" x14ac:dyDescent="0.3">
      <c r="A561" s="9">
        <v>2</v>
      </c>
      <c r="B561" s="9" t="s">
        <v>0</v>
      </c>
      <c r="C561" s="140" t="s">
        <v>4</v>
      </c>
      <c r="D561" s="141" t="s">
        <v>1808</v>
      </c>
      <c r="E561" s="141" t="s">
        <v>1376</v>
      </c>
      <c r="F561" s="142" t="s">
        <v>1377</v>
      </c>
      <c r="G561" s="143">
        <v>2297543</v>
      </c>
      <c r="H561" s="144">
        <v>1392000</v>
      </c>
      <c r="I561" s="144">
        <v>905543</v>
      </c>
      <c r="J561" s="76" t="str">
        <f>IF(Table13[[#This Row],[Nilai Selisih]]&gt;100000,"Recommend","Revise")</f>
        <v>Recommend</v>
      </c>
      <c r="K561" s="17" t="s">
        <v>3</v>
      </c>
      <c r="L561" s="140" t="s">
        <v>3</v>
      </c>
      <c r="M561" s="145" t="s">
        <v>3</v>
      </c>
    </row>
    <row r="562" spans="1:13" ht="14" customHeight="1" x14ac:dyDescent="0.3">
      <c r="A562" s="9">
        <v>2</v>
      </c>
      <c r="B562" s="9" t="s">
        <v>0</v>
      </c>
      <c r="C562" s="140" t="s">
        <v>4</v>
      </c>
      <c r="D562" s="141" t="s">
        <v>1008</v>
      </c>
      <c r="E562" s="141" t="s">
        <v>1378</v>
      </c>
      <c r="F562" s="142" t="s">
        <v>1379</v>
      </c>
      <c r="G562" s="143">
        <v>1471622</v>
      </c>
      <c r="H562" s="144">
        <v>930000</v>
      </c>
      <c r="I562" s="144">
        <v>541622</v>
      </c>
      <c r="J562" s="76" t="str">
        <f>IF(Table13[[#This Row],[Nilai Selisih]]&gt;100000,"Recommend","Revise")</f>
        <v>Recommend</v>
      </c>
      <c r="K562" s="17" t="s">
        <v>3</v>
      </c>
      <c r="L562" s="140" t="s">
        <v>3</v>
      </c>
      <c r="M562" s="145" t="s">
        <v>3</v>
      </c>
    </row>
    <row r="563" spans="1:13" ht="14" customHeight="1" x14ac:dyDescent="0.3">
      <c r="A563" s="9">
        <v>2</v>
      </c>
      <c r="B563" s="9" t="s">
        <v>0</v>
      </c>
      <c r="C563" s="140" t="s">
        <v>4</v>
      </c>
      <c r="D563" s="141" t="s">
        <v>724</v>
      </c>
      <c r="E563" s="141" t="s">
        <v>1380</v>
      </c>
      <c r="F563" s="142" t="s">
        <v>1381</v>
      </c>
      <c r="G563" s="143">
        <v>5040808</v>
      </c>
      <c r="H563" s="144">
        <v>1450000</v>
      </c>
      <c r="I563" s="144">
        <v>3590808</v>
      </c>
      <c r="J563" s="76" t="str">
        <f>IF(Table13[[#This Row],[Nilai Selisih]]&gt;100000,"Recommend","Revise")</f>
        <v>Recommend</v>
      </c>
      <c r="K563" s="17" t="s">
        <v>3</v>
      </c>
      <c r="L563" s="140" t="s">
        <v>3</v>
      </c>
      <c r="M563" s="145" t="s">
        <v>3</v>
      </c>
    </row>
    <row r="564" spans="1:13" ht="14" customHeight="1" x14ac:dyDescent="0.3">
      <c r="A564" s="9">
        <v>2</v>
      </c>
      <c r="B564" s="9" t="s">
        <v>0</v>
      </c>
      <c r="C564" s="140" t="s">
        <v>4</v>
      </c>
      <c r="D564" s="141" t="s">
        <v>724</v>
      </c>
      <c r="E564" s="141" t="s">
        <v>1382</v>
      </c>
      <c r="F564" s="142" t="s">
        <v>1383</v>
      </c>
      <c r="G564" s="143">
        <v>782510</v>
      </c>
      <c r="H564" s="144">
        <v>590000</v>
      </c>
      <c r="I564" s="144">
        <v>192510</v>
      </c>
      <c r="J564" s="76" t="str">
        <f>IF(Table13[[#This Row],[Nilai Selisih]]&gt;100000,"Recommend","Revise")</f>
        <v>Recommend</v>
      </c>
      <c r="K564" s="17" t="s">
        <v>3</v>
      </c>
      <c r="L564" s="140" t="s">
        <v>3</v>
      </c>
      <c r="M564" s="145" t="s">
        <v>3</v>
      </c>
    </row>
    <row r="565" spans="1:13" ht="14" customHeight="1" x14ac:dyDescent="0.3">
      <c r="A565" s="9">
        <v>2</v>
      </c>
      <c r="B565" s="9" t="s">
        <v>0</v>
      </c>
      <c r="C565" s="140" t="s">
        <v>4</v>
      </c>
      <c r="D565" s="141" t="s">
        <v>724</v>
      </c>
      <c r="E565" s="141" t="s">
        <v>1384</v>
      </c>
      <c r="F565" s="142" t="s">
        <v>1385</v>
      </c>
      <c r="G565" s="143">
        <v>1996841</v>
      </c>
      <c r="H565" s="144">
        <v>1495000</v>
      </c>
      <c r="I565" s="144">
        <v>501841</v>
      </c>
      <c r="J565" s="76" t="str">
        <f>IF(Table13[[#This Row],[Nilai Selisih]]&gt;100000,"Recommend","Revise")</f>
        <v>Recommend</v>
      </c>
      <c r="K565" s="17" t="s">
        <v>3</v>
      </c>
      <c r="L565" s="140" t="s">
        <v>3</v>
      </c>
      <c r="M565" s="145" t="s">
        <v>3</v>
      </c>
    </row>
    <row r="566" spans="1:13" ht="14" customHeight="1" x14ac:dyDescent="0.3">
      <c r="A566" s="9">
        <v>2</v>
      </c>
      <c r="B566" s="9" t="s">
        <v>0</v>
      </c>
      <c r="C566" s="140" t="s">
        <v>4</v>
      </c>
      <c r="D566" s="141" t="s">
        <v>724</v>
      </c>
      <c r="E566" s="141" t="s">
        <v>1386</v>
      </c>
      <c r="F566" s="142" t="s">
        <v>1387</v>
      </c>
      <c r="G566" s="143">
        <v>1996841</v>
      </c>
      <c r="H566" s="144">
        <v>1395000</v>
      </c>
      <c r="I566" s="144">
        <v>601841</v>
      </c>
      <c r="J566" s="76" t="str">
        <f>IF(Table13[[#This Row],[Nilai Selisih]]&gt;100000,"Recommend","Revise")</f>
        <v>Recommend</v>
      </c>
      <c r="K566" s="17" t="s">
        <v>3</v>
      </c>
      <c r="L566" s="140" t="s">
        <v>3</v>
      </c>
      <c r="M566" s="145" t="s">
        <v>3</v>
      </c>
    </row>
    <row r="567" spans="1:13" ht="14" customHeight="1" x14ac:dyDescent="0.3">
      <c r="A567" s="9">
        <v>2</v>
      </c>
      <c r="B567" s="9" t="s">
        <v>0</v>
      </c>
      <c r="C567" s="140" t="s">
        <v>4</v>
      </c>
      <c r="D567" s="141" t="s">
        <v>724</v>
      </c>
      <c r="E567" s="141" t="s">
        <v>1388</v>
      </c>
      <c r="F567" s="142" t="s">
        <v>1389</v>
      </c>
      <c r="G567" s="143">
        <v>949962</v>
      </c>
      <c r="H567" s="144">
        <v>798000</v>
      </c>
      <c r="I567" s="144">
        <v>151962</v>
      </c>
      <c r="J567" s="76" t="str">
        <f>IF(Table13[[#This Row],[Nilai Selisih]]&gt;100000,"Recommend","Revise")</f>
        <v>Recommend</v>
      </c>
      <c r="K567" s="17" t="s">
        <v>3</v>
      </c>
      <c r="L567" s="140" t="s">
        <v>3</v>
      </c>
      <c r="M567" s="145" t="s">
        <v>3</v>
      </c>
    </row>
    <row r="568" spans="1:13" ht="14" customHeight="1" x14ac:dyDescent="0.3">
      <c r="A568" s="9">
        <v>2</v>
      </c>
      <c r="B568" s="9" t="s">
        <v>0</v>
      </c>
      <c r="C568" s="140" t="s">
        <v>4</v>
      </c>
      <c r="D568" s="141" t="s">
        <v>724</v>
      </c>
      <c r="E568" s="141" t="s">
        <v>1390</v>
      </c>
      <c r="F568" s="142" t="s">
        <v>1391</v>
      </c>
      <c r="G568" s="143">
        <v>720969</v>
      </c>
      <c r="H568" s="144">
        <v>610000</v>
      </c>
      <c r="I568" s="144">
        <v>110969</v>
      </c>
      <c r="J568" s="76" t="str">
        <f>IF(Table13[[#This Row],[Nilai Selisih]]&gt;100000,"Recommend","Revise")</f>
        <v>Recommend</v>
      </c>
      <c r="K568" s="17" t="s">
        <v>3</v>
      </c>
      <c r="L568" s="140" t="s">
        <v>3</v>
      </c>
      <c r="M568" s="145" t="s">
        <v>3</v>
      </c>
    </row>
    <row r="569" spans="1:13" ht="14" customHeight="1" x14ac:dyDescent="0.3">
      <c r="A569" s="9">
        <v>2</v>
      </c>
      <c r="B569" s="9" t="s">
        <v>0</v>
      </c>
      <c r="C569" s="140" t="s">
        <v>4</v>
      </c>
      <c r="D569" s="141" t="s">
        <v>724</v>
      </c>
      <c r="E569" s="141" t="s">
        <v>1392</v>
      </c>
      <c r="F569" s="142" t="s">
        <v>1393</v>
      </c>
      <c r="G569" s="143">
        <v>1099938</v>
      </c>
      <c r="H569" s="144">
        <v>820000</v>
      </c>
      <c r="I569" s="144">
        <v>279938</v>
      </c>
      <c r="J569" s="76" t="str">
        <f>IF(Table13[[#This Row],[Nilai Selisih]]&gt;100000,"Recommend","Revise")</f>
        <v>Recommend</v>
      </c>
      <c r="K569" s="17" t="s">
        <v>3</v>
      </c>
      <c r="L569" s="140" t="s">
        <v>3</v>
      </c>
      <c r="M569" s="145" t="s">
        <v>3</v>
      </c>
    </row>
    <row r="570" spans="1:13" ht="14" customHeight="1" x14ac:dyDescent="0.3">
      <c r="A570" s="9">
        <v>2</v>
      </c>
      <c r="B570" s="9" t="s">
        <v>0</v>
      </c>
      <c r="C570" s="140" t="s">
        <v>4</v>
      </c>
      <c r="D570" s="141" t="s">
        <v>724</v>
      </c>
      <c r="E570" s="141" t="s">
        <v>1394</v>
      </c>
      <c r="F570" s="142" t="s">
        <v>1395</v>
      </c>
      <c r="G570" s="143">
        <v>768058</v>
      </c>
      <c r="H570" s="144">
        <v>525000</v>
      </c>
      <c r="I570" s="144">
        <v>243058</v>
      </c>
      <c r="J570" s="76" t="str">
        <f>IF(Table13[[#This Row],[Nilai Selisih]]&gt;100000,"Recommend","Revise")</f>
        <v>Recommend</v>
      </c>
      <c r="K570" s="17" t="s">
        <v>3</v>
      </c>
      <c r="L570" s="140" t="s">
        <v>3</v>
      </c>
      <c r="M570" s="145" t="s">
        <v>3</v>
      </c>
    </row>
    <row r="571" spans="1:13" ht="14" customHeight="1" x14ac:dyDescent="0.3">
      <c r="A571" s="9">
        <v>2</v>
      </c>
      <c r="B571" s="9" t="s">
        <v>0</v>
      </c>
      <c r="C571" s="140" t="s">
        <v>4</v>
      </c>
      <c r="D571" s="141" t="s">
        <v>724</v>
      </c>
      <c r="E571" s="141" t="s">
        <v>1396</v>
      </c>
      <c r="F571" s="142" t="s">
        <v>1397</v>
      </c>
      <c r="G571" s="143">
        <v>1218706</v>
      </c>
      <c r="H571" s="144">
        <v>890000</v>
      </c>
      <c r="I571" s="144">
        <v>328706</v>
      </c>
      <c r="J571" s="76" t="str">
        <f>IF(Table13[[#This Row],[Nilai Selisih]]&gt;100000,"Recommend","Revise")</f>
        <v>Recommend</v>
      </c>
      <c r="K571" s="17" t="s">
        <v>3</v>
      </c>
      <c r="L571" s="140" t="s">
        <v>3</v>
      </c>
      <c r="M571" s="145" t="s">
        <v>3</v>
      </c>
    </row>
    <row r="572" spans="1:13" ht="14" customHeight="1" x14ac:dyDescent="0.3">
      <c r="A572" s="9">
        <v>2</v>
      </c>
      <c r="B572" s="9" t="s">
        <v>0</v>
      </c>
      <c r="C572" s="140" t="s">
        <v>4</v>
      </c>
      <c r="D572" s="141" t="s">
        <v>724</v>
      </c>
      <c r="E572" s="141" t="s">
        <v>1398</v>
      </c>
      <c r="F572" s="142" t="s">
        <v>1399</v>
      </c>
      <c r="G572" s="143">
        <v>1169164</v>
      </c>
      <c r="H572" s="144">
        <v>915000</v>
      </c>
      <c r="I572" s="144">
        <v>254164</v>
      </c>
      <c r="J572" s="76" t="str">
        <f>IF(Table13[[#This Row],[Nilai Selisih]]&gt;100000,"Recommend","Revise")</f>
        <v>Recommend</v>
      </c>
      <c r="K572" s="17" t="s">
        <v>3</v>
      </c>
      <c r="L572" s="140" t="s">
        <v>3</v>
      </c>
      <c r="M572" s="145" t="s">
        <v>3</v>
      </c>
    </row>
    <row r="573" spans="1:13" ht="14" customHeight="1" x14ac:dyDescent="0.3">
      <c r="A573" s="9">
        <v>2</v>
      </c>
      <c r="B573" s="9" t="s">
        <v>0</v>
      </c>
      <c r="C573" s="140" t="s">
        <v>4</v>
      </c>
      <c r="D573" s="141" t="s">
        <v>724</v>
      </c>
      <c r="E573" s="141" t="s">
        <v>1400</v>
      </c>
      <c r="F573" s="142" t="s">
        <v>1401</v>
      </c>
      <c r="G573" s="143">
        <v>1178801</v>
      </c>
      <c r="H573" s="144">
        <v>605000</v>
      </c>
      <c r="I573" s="144">
        <v>573801</v>
      </c>
      <c r="J573" s="76" t="str">
        <f>IF(Table13[[#This Row],[Nilai Selisih]]&gt;100000,"Recommend","Revise")</f>
        <v>Recommend</v>
      </c>
      <c r="K573" s="17" t="s">
        <v>3</v>
      </c>
      <c r="L573" s="140" t="s">
        <v>3</v>
      </c>
      <c r="M573" s="145" t="s">
        <v>3</v>
      </c>
    </row>
    <row r="574" spans="1:13" ht="14" customHeight="1" x14ac:dyDescent="0.3">
      <c r="A574" s="9">
        <v>2</v>
      </c>
      <c r="B574" s="9" t="s">
        <v>0</v>
      </c>
      <c r="C574" s="140" t="s">
        <v>4</v>
      </c>
      <c r="D574" s="141" t="s">
        <v>724</v>
      </c>
      <c r="E574" s="141" t="s">
        <v>1402</v>
      </c>
      <c r="F574" s="142" t="s">
        <v>1403</v>
      </c>
      <c r="G574" s="143">
        <v>604428</v>
      </c>
      <c r="H574" s="144">
        <v>560000</v>
      </c>
      <c r="I574" s="144">
        <v>44428</v>
      </c>
      <c r="J574" s="76" t="str">
        <f>IF(Table13[[#This Row],[Nilai Selisih]]&gt;100000,"Recommend","Revise")</f>
        <v>Revise</v>
      </c>
      <c r="K574" s="17" t="s">
        <v>3</v>
      </c>
      <c r="L574" s="140" t="s">
        <v>3</v>
      </c>
      <c r="M574" s="145" t="s">
        <v>3</v>
      </c>
    </row>
    <row r="575" spans="1:13" ht="14" customHeight="1" x14ac:dyDescent="0.3">
      <c r="A575" s="9">
        <v>2</v>
      </c>
      <c r="B575" s="9" t="s">
        <v>0</v>
      </c>
      <c r="C575" s="140" t="s">
        <v>4</v>
      </c>
      <c r="D575" s="141" t="s">
        <v>724</v>
      </c>
      <c r="E575" s="141" t="s">
        <v>1404</v>
      </c>
      <c r="F575" s="142" t="s">
        <v>1405</v>
      </c>
      <c r="G575" s="143">
        <v>593934</v>
      </c>
      <c r="H575" s="144">
        <v>605000</v>
      </c>
      <c r="I575" s="144">
        <v>-11066</v>
      </c>
      <c r="J575" s="76" t="str">
        <f>IF(Table13[[#This Row],[Nilai Selisih]]&gt;100000,"Recommend","Revise")</f>
        <v>Revise</v>
      </c>
      <c r="K575" s="17" t="s">
        <v>3</v>
      </c>
      <c r="L575" s="140" t="s">
        <v>3</v>
      </c>
      <c r="M575" s="145" t="s">
        <v>3</v>
      </c>
    </row>
    <row r="576" spans="1:13" ht="14" customHeight="1" x14ac:dyDescent="0.3">
      <c r="A576" s="9">
        <v>2</v>
      </c>
      <c r="B576" s="9" t="s">
        <v>0</v>
      </c>
      <c r="C576" s="140" t="s">
        <v>4</v>
      </c>
      <c r="D576" s="141" t="s">
        <v>724</v>
      </c>
      <c r="E576" s="141" t="s">
        <v>1406</v>
      </c>
      <c r="F576" s="142" t="s">
        <v>1407</v>
      </c>
      <c r="G576" s="143">
        <v>901206</v>
      </c>
      <c r="H576" s="144">
        <v>580000</v>
      </c>
      <c r="I576" s="144">
        <v>321206</v>
      </c>
      <c r="J576" s="76" t="str">
        <f>IF(Table13[[#This Row],[Nilai Selisih]]&gt;100000,"Recommend","Revise")</f>
        <v>Recommend</v>
      </c>
      <c r="K576" s="17" t="s">
        <v>3</v>
      </c>
      <c r="L576" s="140" t="s">
        <v>3</v>
      </c>
      <c r="M576" s="145" t="s">
        <v>3</v>
      </c>
    </row>
    <row r="577" spans="1:13" ht="14" customHeight="1" x14ac:dyDescent="0.3">
      <c r="A577" s="9">
        <v>2</v>
      </c>
      <c r="B577" s="9" t="s">
        <v>0</v>
      </c>
      <c r="C577" s="140" t="s">
        <v>4</v>
      </c>
      <c r="D577" s="141" t="s">
        <v>724</v>
      </c>
      <c r="E577" s="141" t="s">
        <v>1408</v>
      </c>
      <c r="F577" s="142" t="s">
        <v>1409</v>
      </c>
      <c r="G577" s="143">
        <v>938178</v>
      </c>
      <c r="H577" s="144">
        <v>745000</v>
      </c>
      <c r="I577" s="144">
        <v>193178</v>
      </c>
      <c r="J577" s="76" t="str">
        <f>IF(Table13[[#This Row],[Nilai Selisih]]&gt;100000,"Recommend","Revise")</f>
        <v>Recommend</v>
      </c>
      <c r="K577" s="17" t="s">
        <v>3</v>
      </c>
      <c r="L577" s="140" t="s">
        <v>3</v>
      </c>
      <c r="M577" s="145" t="s">
        <v>3</v>
      </c>
    </row>
    <row r="578" spans="1:13" ht="14" customHeight="1" x14ac:dyDescent="0.3">
      <c r="A578" s="9">
        <v>2</v>
      </c>
      <c r="B578" s="9" t="s">
        <v>0</v>
      </c>
      <c r="C578" s="140" t="s">
        <v>4</v>
      </c>
      <c r="D578" s="141" t="s">
        <v>724</v>
      </c>
      <c r="E578" s="141" t="s">
        <v>1410</v>
      </c>
      <c r="F578" s="142" t="s">
        <v>1411</v>
      </c>
      <c r="G578" s="143">
        <v>540407</v>
      </c>
      <c r="H578" s="144">
        <v>485000</v>
      </c>
      <c r="I578" s="144">
        <v>55407</v>
      </c>
      <c r="J578" s="76" t="str">
        <f>IF(Table13[[#This Row],[Nilai Selisih]]&gt;100000,"Recommend","Revise")</f>
        <v>Revise</v>
      </c>
      <c r="K578" s="17" t="s">
        <v>3</v>
      </c>
      <c r="L578" s="140" t="s">
        <v>3</v>
      </c>
      <c r="M578" s="145" t="s">
        <v>3</v>
      </c>
    </row>
    <row r="579" spans="1:13" ht="14" customHeight="1" x14ac:dyDescent="0.3">
      <c r="A579" s="9">
        <v>2</v>
      </c>
      <c r="B579" s="9" t="s">
        <v>0</v>
      </c>
      <c r="C579" s="140" t="s">
        <v>4</v>
      </c>
      <c r="D579" s="141" t="s">
        <v>1811</v>
      </c>
      <c r="E579" s="141" t="s">
        <v>1412</v>
      </c>
      <c r="F579" s="142" t="s">
        <v>1413</v>
      </c>
      <c r="G579" s="143">
        <v>679644</v>
      </c>
      <c r="H579" s="144">
        <v>495000</v>
      </c>
      <c r="I579" s="144">
        <v>184644</v>
      </c>
      <c r="J579" s="76" t="str">
        <f>IF(Table13[[#This Row],[Nilai Selisih]]&gt;100000,"Recommend","Revise")</f>
        <v>Recommend</v>
      </c>
      <c r="K579" s="17" t="s">
        <v>3</v>
      </c>
      <c r="L579" s="140" t="s">
        <v>3</v>
      </c>
      <c r="M579" s="145" t="s">
        <v>3</v>
      </c>
    </row>
    <row r="580" spans="1:13" ht="14" customHeight="1" x14ac:dyDescent="0.3">
      <c r="A580" s="9">
        <v>2</v>
      </c>
      <c r="B580" s="9" t="s">
        <v>0</v>
      </c>
      <c r="C580" s="140" t="s">
        <v>4</v>
      </c>
      <c r="D580" s="141" t="s">
        <v>1811</v>
      </c>
      <c r="E580" s="141" t="s">
        <v>1414</v>
      </c>
      <c r="F580" s="142" t="s">
        <v>1415</v>
      </c>
      <c r="G580" s="143">
        <v>1614015</v>
      </c>
      <c r="H580" s="144">
        <v>1070000</v>
      </c>
      <c r="I580" s="144">
        <v>544015</v>
      </c>
      <c r="J580" s="76" t="str">
        <f>IF(Table13[[#This Row],[Nilai Selisih]]&gt;100000,"Recommend","Revise")</f>
        <v>Recommend</v>
      </c>
      <c r="K580" s="17" t="s">
        <v>3</v>
      </c>
      <c r="L580" s="140" t="s">
        <v>3</v>
      </c>
      <c r="M580" s="145" t="s">
        <v>3</v>
      </c>
    </row>
    <row r="581" spans="1:13" ht="14" customHeight="1" x14ac:dyDescent="0.3">
      <c r="A581" s="9">
        <v>2</v>
      </c>
      <c r="B581" s="9" t="s">
        <v>0</v>
      </c>
      <c r="C581" s="140" t="s">
        <v>4</v>
      </c>
      <c r="D581" s="141" t="s">
        <v>1811</v>
      </c>
      <c r="E581" s="141" t="s">
        <v>1416</v>
      </c>
      <c r="F581" s="142" t="s">
        <v>1417</v>
      </c>
      <c r="G581" s="143">
        <v>1649663</v>
      </c>
      <c r="H581" s="144">
        <v>1135000</v>
      </c>
      <c r="I581" s="144">
        <v>514663</v>
      </c>
      <c r="J581" s="76" t="str">
        <f>IF(Table13[[#This Row],[Nilai Selisih]]&gt;100000,"Recommend","Revise")</f>
        <v>Recommend</v>
      </c>
      <c r="K581" s="17" t="s">
        <v>3</v>
      </c>
      <c r="L581" s="140" t="s">
        <v>3</v>
      </c>
      <c r="M581" s="145" t="s">
        <v>3</v>
      </c>
    </row>
    <row r="582" spans="1:13" ht="14" customHeight="1" x14ac:dyDescent="0.3">
      <c r="A582" s="9">
        <v>2</v>
      </c>
      <c r="B582" s="9" t="s">
        <v>0</v>
      </c>
      <c r="C582" s="140" t="s">
        <v>4</v>
      </c>
      <c r="D582" s="141" t="s">
        <v>1811</v>
      </c>
      <c r="E582" s="141" t="s">
        <v>1418</v>
      </c>
      <c r="F582" s="142" t="s">
        <v>1419</v>
      </c>
      <c r="G582" s="143">
        <v>1111786</v>
      </c>
      <c r="H582" s="144">
        <v>815000</v>
      </c>
      <c r="I582" s="144">
        <v>296786</v>
      </c>
      <c r="J582" s="76" t="str">
        <f>IF(Table13[[#This Row],[Nilai Selisih]]&gt;100000,"Recommend","Revise")</f>
        <v>Recommend</v>
      </c>
      <c r="K582" s="17" t="s">
        <v>3</v>
      </c>
      <c r="L582" s="140" t="s">
        <v>3</v>
      </c>
      <c r="M582" s="145" t="s">
        <v>3</v>
      </c>
    </row>
    <row r="583" spans="1:13" ht="14" customHeight="1" x14ac:dyDescent="0.3">
      <c r="A583" s="9">
        <v>2</v>
      </c>
      <c r="B583" s="9" t="s">
        <v>0</v>
      </c>
      <c r="C583" s="140" t="s">
        <v>4</v>
      </c>
      <c r="D583" s="141" t="s">
        <v>1811</v>
      </c>
      <c r="E583" s="141" t="s">
        <v>1420</v>
      </c>
      <c r="F583" s="142" t="s">
        <v>1421</v>
      </c>
      <c r="G583" s="143">
        <v>978363</v>
      </c>
      <c r="H583" s="144">
        <v>860000</v>
      </c>
      <c r="I583" s="144">
        <v>118363</v>
      </c>
      <c r="J583" s="76" t="str">
        <f>IF(Table13[[#This Row],[Nilai Selisih]]&gt;100000,"Recommend","Revise")</f>
        <v>Recommend</v>
      </c>
      <c r="K583" s="17" t="s">
        <v>3</v>
      </c>
      <c r="L583" s="140" t="s">
        <v>3</v>
      </c>
      <c r="M583" s="145" t="s">
        <v>3</v>
      </c>
    </row>
    <row r="584" spans="1:13" ht="14" customHeight="1" x14ac:dyDescent="0.3">
      <c r="A584" s="9">
        <v>2</v>
      </c>
      <c r="B584" s="9" t="s">
        <v>0</v>
      </c>
      <c r="C584" s="140" t="s">
        <v>4</v>
      </c>
      <c r="D584" s="141" t="s">
        <v>1811</v>
      </c>
      <c r="E584" s="141" t="s">
        <v>1422</v>
      </c>
      <c r="F584" s="142" t="s">
        <v>1423</v>
      </c>
      <c r="G584" s="143">
        <v>1262563</v>
      </c>
      <c r="H584" s="144">
        <v>950000</v>
      </c>
      <c r="I584" s="144">
        <v>312563</v>
      </c>
      <c r="J584" s="76" t="str">
        <f>IF(Table13[[#This Row],[Nilai Selisih]]&gt;100000,"Recommend","Revise")</f>
        <v>Recommend</v>
      </c>
      <c r="K584" s="17" t="s">
        <v>3</v>
      </c>
      <c r="L584" s="140" t="s">
        <v>3</v>
      </c>
      <c r="M584" s="145" t="s">
        <v>3</v>
      </c>
    </row>
    <row r="585" spans="1:13" ht="14" customHeight="1" x14ac:dyDescent="0.3">
      <c r="A585" s="9">
        <v>2</v>
      </c>
      <c r="B585" s="9" t="s">
        <v>0</v>
      </c>
      <c r="C585" s="140" t="s">
        <v>4</v>
      </c>
      <c r="D585" s="141" t="s">
        <v>1811</v>
      </c>
      <c r="E585" s="141" t="s">
        <v>1424</v>
      </c>
      <c r="F585" s="142" t="s">
        <v>1425</v>
      </c>
      <c r="G585" s="143">
        <v>932848</v>
      </c>
      <c r="H585" s="144">
        <v>805000</v>
      </c>
      <c r="I585" s="144">
        <v>127848</v>
      </c>
      <c r="J585" s="76" t="str">
        <f>IF(Table13[[#This Row],[Nilai Selisih]]&gt;100000,"Recommend","Revise")</f>
        <v>Recommend</v>
      </c>
      <c r="K585" s="17" t="s">
        <v>3</v>
      </c>
      <c r="L585" s="140" t="s">
        <v>3</v>
      </c>
      <c r="M585" s="145" t="s">
        <v>3</v>
      </c>
    </row>
    <row r="586" spans="1:13" ht="14" customHeight="1" x14ac:dyDescent="0.3">
      <c r="A586" s="9">
        <v>2</v>
      </c>
      <c r="B586" s="9" t="s">
        <v>0</v>
      </c>
      <c r="C586" s="140" t="s">
        <v>4</v>
      </c>
      <c r="D586" s="141" t="s">
        <v>1269</v>
      </c>
      <c r="E586" s="141" t="s">
        <v>1426</v>
      </c>
      <c r="F586" s="142" t="s">
        <v>1427</v>
      </c>
      <c r="G586" s="143">
        <v>1062622</v>
      </c>
      <c r="H586" s="144">
        <v>850000</v>
      </c>
      <c r="I586" s="144">
        <v>212622</v>
      </c>
      <c r="J586" s="76" t="str">
        <f>IF(Table13[[#This Row],[Nilai Selisih]]&gt;100000,"Recommend","Revise")</f>
        <v>Recommend</v>
      </c>
      <c r="K586" s="17" t="s">
        <v>3</v>
      </c>
      <c r="L586" s="140" t="s">
        <v>3</v>
      </c>
      <c r="M586" s="145" t="s">
        <v>3</v>
      </c>
    </row>
    <row r="587" spans="1:13" ht="14" customHeight="1" x14ac:dyDescent="0.3">
      <c r="A587" s="9">
        <v>2</v>
      </c>
      <c r="B587" s="9" t="s">
        <v>0</v>
      </c>
      <c r="C587" s="140" t="s">
        <v>4</v>
      </c>
      <c r="D587" s="141" t="s">
        <v>1269</v>
      </c>
      <c r="E587" s="141" t="s">
        <v>1428</v>
      </c>
      <c r="F587" s="142" t="s">
        <v>1429</v>
      </c>
      <c r="G587" s="143">
        <v>683724</v>
      </c>
      <c r="H587" s="144">
        <v>505000</v>
      </c>
      <c r="I587" s="144">
        <v>178724</v>
      </c>
      <c r="J587" s="76" t="str">
        <f>IF(Table13[[#This Row],[Nilai Selisih]]&gt;100000,"Recommend","Revise")</f>
        <v>Recommend</v>
      </c>
      <c r="K587" s="17" t="s">
        <v>3</v>
      </c>
      <c r="L587" s="140" t="s">
        <v>3</v>
      </c>
      <c r="M587" s="145" t="s">
        <v>3</v>
      </c>
    </row>
    <row r="588" spans="1:13" ht="14" customHeight="1" x14ac:dyDescent="0.3">
      <c r="A588" s="9">
        <v>2</v>
      </c>
      <c r="B588" s="9" t="s">
        <v>0</v>
      </c>
      <c r="C588" s="140" t="s">
        <v>4</v>
      </c>
      <c r="D588" s="141" t="s">
        <v>1269</v>
      </c>
      <c r="E588" s="141" t="s">
        <v>1430</v>
      </c>
      <c r="F588" s="142" t="s">
        <v>1431</v>
      </c>
      <c r="G588" s="143">
        <v>1035620</v>
      </c>
      <c r="H588" s="144">
        <v>735000</v>
      </c>
      <c r="I588" s="144">
        <v>300620</v>
      </c>
      <c r="J588" s="76" t="str">
        <f>IF(Table13[[#This Row],[Nilai Selisih]]&gt;100000,"Recommend","Revise")</f>
        <v>Recommend</v>
      </c>
      <c r="K588" s="17" t="s">
        <v>3</v>
      </c>
      <c r="L588" s="140" t="s">
        <v>3</v>
      </c>
      <c r="M588" s="145" t="s">
        <v>3</v>
      </c>
    </row>
    <row r="589" spans="1:13" ht="14" customHeight="1" x14ac:dyDescent="0.3">
      <c r="A589" s="9">
        <v>2</v>
      </c>
      <c r="B589" s="9" t="s">
        <v>0</v>
      </c>
      <c r="C589" s="140" t="s">
        <v>4</v>
      </c>
      <c r="D589" s="141" t="s">
        <v>1269</v>
      </c>
      <c r="E589" s="141" t="s">
        <v>1432</v>
      </c>
      <c r="F589" s="142" t="s">
        <v>1433</v>
      </c>
      <c r="G589" s="143">
        <v>478968</v>
      </c>
      <c r="H589" s="144">
        <v>410000</v>
      </c>
      <c r="I589" s="144">
        <v>68968</v>
      </c>
      <c r="J589" s="76" t="str">
        <f>IF(Table13[[#This Row],[Nilai Selisih]]&gt;100000,"Recommend","Revise")</f>
        <v>Revise</v>
      </c>
      <c r="K589" s="17" t="s">
        <v>3</v>
      </c>
      <c r="L589" s="140" t="s">
        <v>3</v>
      </c>
      <c r="M589" s="145" t="s">
        <v>3</v>
      </c>
    </row>
    <row r="590" spans="1:13" ht="14" customHeight="1" x14ac:dyDescent="0.3">
      <c r="A590" s="9">
        <v>2</v>
      </c>
      <c r="B590" s="9" t="s">
        <v>0</v>
      </c>
      <c r="C590" s="140" t="s">
        <v>4</v>
      </c>
      <c r="D590" s="141" t="s">
        <v>1269</v>
      </c>
      <c r="E590" s="141" t="s">
        <v>1434</v>
      </c>
      <c r="F590" s="142" t="s">
        <v>1435</v>
      </c>
      <c r="G590" s="143">
        <v>612174</v>
      </c>
      <c r="H590" s="144">
        <v>550000</v>
      </c>
      <c r="I590" s="144">
        <v>62174</v>
      </c>
      <c r="J590" s="76" t="str">
        <f>IF(Table13[[#This Row],[Nilai Selisih]]&gt;100000,"Recommend","Revise")</f>
        <v>Revise</v>
      </c>
      <c r="K590" s="17" t="s">
        <v>3</v>
      </c>
      <c r="L590" s="140" t="s">
        <v>3</v>
      </c>
      <c r="M590" s="145" t="s">
        <v>3</v>
      </c>
    </row>
    <row r="591" spans="1:13" ht="14" customHeight="1" x14ac:dyDescent="0.3">
      <c r="A591" s="9">
        <v>2</v>
      </c>
      <c r="B591" s="9" t="s">
        <v>0</v>
      </c>
      <c r="C591" s="140" t="s">
        <v>4</v>
      </c>
      <c r="D591" s="141" t="s">
        <v>1268</v>
      </c>
      <c r="E591" s="141" t="s">
        <v>1436</v>
      </c>
      <c r="F591" s="142" t="s">
        <v>1437</v>
      </c>
      <c r="G591" s="143">
        <v>617302</v>
      </c>
      <c r="H591" s="144">
        <v>710000</v>
      </c>
      <c r="I591" s="144">
        <v>-92698</v>
      </c>
      <c r="J591" s="76" t="str">
        <f>IF(Table13[[#This Row],[Nilai Selisih]]&gt;100000,"Recommend","Revise")</f>
        <v>Revise</v>
      </c>
      <c r="K591" s="17" t="s">
        <v>3</v>
      </c>
      <c r="L591" s="140" t="s">
        <v>3</v>
      </c>
      <c r="M591" s="145" t="s">
        <v>3</v>
      </c>
    </row>
    <row r="592" spans="1:13" ht="14" customHeight="1" x14ac:dyDescent="0.3">
      <c r="A592" s="9">
        <v>2</v>
      </c>
      <c r="B592" s="9" t="s">
        <v>0</v>
      </c>
      <c r="C592" s="140" t="s">
        <v>4</v>
      </c>
      <c r="D592" s="141" t="s">
        <v>1268</v>
      </c>
      <c r="E592" s="141" t="s">
        <v>1438</v>
      </c>
      <c r="F592" s="142" t="s">
        <v>1439</v>
      </c>
      <c r="G592" s="143">
        <v>637205</v>
      </c>
      <c r="H592" s="144">
        <v>505000</v>
      </c>
      <c r="I592" s="144">
        <v>132205</v>
      </c>
      <c r="J592" s="76" t="str">
        <f>IF(Table13[[#This Row],[Nilai Selisih]]&gt;100000,"Recommend","Revise")</f>
        <v>Recommend</v>
      </c>
      <c r="K592" s="17" t="s">
        <v>3</v>
      </c>
      <c r="L592" s="140" t="s">
        <v>3</v>
      </c>
      <c r="M592" s="145" t="s">
        <v>3</v>
      </c>
    </row>
    <row r="593" spans="1:13" ht="14" customHeight="1" x14ac:dyDescent="0.3">
      <c r="A593" s="9">
        <v>2</v>
      </c>
      <c r="B593" s="9" t="s">
        <v>0</v>
      </c>
      <c r="C593" s="140" t="s">
        <v>4</v>
      </c>
      <c r="D593" s="141" t="s">
        <v>1268</v>
      </c>
      <c r="E593" s="141" t="s">
        <v>1440</v>
      </c>
      <c r="F593" s="142" t="s">
        <v>1441</v>
      </c>
      <c r="G593" s="143">
        <v>735419</v>
      </c>
      <c r="H593" s="144">
        <v>505000</v>
      </c>
      <c r="I593" s="144">
        <v>230419</v>
      </c>
      <c r="J593" s="76" t="str">
        <f>IF(Table13[[#This Row],[Nilai Selisih]]&gt;100000,"Recommend","Revise")</f>
        <v>Recommend</v>
      </c>
      <c r="K593" s="17" t="s">
        <v>3</v>
      </c>
      <c r="L593" s="140" t="s">
        <v>3</v>
      </c>
      <c r="M593" s="145" t="s">
        <v>3</v>
      </c>
    </row>
    <row r="594" spans="1:13" ht="14" customHeight="1" x14ac:dyDescent="0.3">
      <c r="A594" s="9">
        <v>2</v>
      </c>
      <c r="B594" s="9" t="s">
        <v>0</v>
      </c>
      <c r="C594" s="140" t="s">
        <v>4</v>
      </c>
      <c r="D594" s="141" t="s">
        <v>1268</v>
      </c>
      <c r="E594" s="141" t="s">
        <v>1442</v>
      </c>
      <c r="F594" s="142" t="s">
        <v>1443</v>
      </c>
      <c r="G594" s="143">
        <v>558543</v>
      </c>
      <c r="H594" s="144">
        <v>460000</v>
      </c>
      <c r="I594" s="144">
        <v>98543</v>
      </c>
      <c r="J594" s="76" t="str">
        <f>IF(Table13[[#This Row],[Nilai Selisih]]&gt;100000,"Recommend","Revise")</f>
        <v>Revise</v>
      </c>
      <c r="K594" s="17" t="s">
        <v>3</v>
      </c>
      <c r="L594" s="140" t="s">
        <v>3</v>
      </c>
      <c r="M594" s="145" t="s">
        <v>3</v>
      </c>
    </row>
    <row r="595" spans="1:13" ht="14" customHeight="1" x14ac:dyDescent="0.3">
      <c r="A595" s="9">
        <v>2</v>
      </c>
      <c r="B595" s="9" t="s">
        <v>0</v>
      </c>
      <c r="C595" s="140" t="s">
        <v>4</v>
      </c>
      <c r="D595" s="141" t="s">
        <v>1268</v>
      </c>
      <c r="E595" s="141" t="s">
        <v>1444</v>
      </c>
      <c r="F595" s="142" t="s">
        <v>1445</v>
      </c>
      <c r="G595" s="143">
        <v>478901</v>
      </c>
      <c r="H595" s="144">
        <v>435000</v>
      </c>
      <c r="I595" s="144">
        <v>43901</v>
      </c>
      <c r="J595" s="76" t="str">
        <f>IF(Table13[[#This Row],[Nilai Selisih]]&gt;100000,"Recommend","Revise")</f>
        <v>Revise</v>
      </c>
      <c r="K595" s="17" t="s">
        <v>3</v>
      </c>
      <c r="L595" s="140" t="s">
        <v>3</v>
      </c>
      <c r="M595" s="145" t="s">
        <v>3</v>
      </c>
    </row>
    <row r="596" spans="1:13" ht="14" customHeight="1" x14ac:dyDescent="0.3">
      <c r="A596" s="9">
        <v>2</v>
      </c>
      <c r="B596" s="9" t="s">
        <v>0</v>
      </c>
      <c r="C596" s="140" t="s">
        <v>4</v>
      </c>
      <c r="D596" s="141" t="s">
        <v>1268</v>
      </c>
      <c r="E596" s="141" t="s">
        <v>1446</v>
      </c>
      <c r="F596" s="142" t="s">
        <v>1447</v>
      </c>
      <c r="G596" s="143">
        <v>660172</v>
      </c>
      <c r="H596" s="144">
        <v>505000</v>
      </c>
      <c r="I596" s="144">
        <v>155172</v>
      </c>
      <c r="J596" s="76" t="str">
        <f>IF(Table13[[#This Row],[Nilai Selisih]]&gt;100000,"Recommend","Revise")</f>
        <v>Recommend</v>
      </c>
      <c r="K596" s="17" t="s">
        <v>3</v>
      </c>
      <c r="L596" s="140" t="s">
        <v>3</v>
      </c>
      <c r="M596" s="145" t="s">
        <v>3</v>
      </c>
    </row>
    <row r="597" spans="1:13" ht="14" customHeight="1" x14ac:dyDescent="0.3">
      <c r="A597" s="9">
        <v>2</v>
      </c>
      <c r="B597" s="9" t="s">
        <v>0</v>
      </c>
      <c r="C597" s="140" t="s">
        <v>4</v>
      </c>
      <c r="D597" s="141" t="s">
        <v>1268</v>
      </c>
      <c r="E597" s="141" t="s">
        <v>1448</v>
      </c>
      <c r="F597" s="142" t="s">
        <v>1449</v>
      </c>
      <c r="G597" s="143">
        <v>550000</v>
      </c>
      <c r="H597" s="144">
        <v>600000</v>
      </c>
      <c r="I597" s="144">
        <v>-50000</v>
      </c>
      <c r="J597" s="76" t="str">
        <f>IF(Table13[[#This Row],[Nilai Selisih]]&gt;100000,"Recommend","Revise")</f>
        <v>Revise</v>
      </c>
      <c r="K597" s="17" t="s">
        <v>3</v>
      </c>
      <c r="L597" s="140" t="s">
        <v>3</v>
      </c>
      <c r="M597" s="145" t="s">
        <v>3</v>
      </c>
    </row>
    <row r="598" spans="1:13" ht="14" customHeight="1" x14ac:dyDescent="0.3">
      <c r="A598" s="9">
        <v>2</v>
      </c>
      <c r="B598" s="9" t="s">
        <v>0</v>
      </c>
      <c r="C598" s="140" t="s">
        <v>4</v>
      </c>
      <c r="D598" s="141" t="s">
        <v>1268</v>
      </c>
      <c r="E598" s="141" t="s">
        <v>1450</v>
      </c>
      <c r="F598" s="142" t="s">
        <v>1451</v>
      </c>
      <c r="G598" s="143">
        <v>614615</v>
      </c>
      <c r="H598" s="144">
        <v>505000</v>
      </c>
      <c r="I598" s="144">
        <v>109615</v>
      </c>
      <c r="J598" s="76" t="str">
        <f>IF(Table13[[#This Row],[Nilai Selisih]]&gt;100000,"Recommend","Revise")</f>
        <v>Recommend</v>
      </c>
      <c r="K598" s="17" t="s">
        <v>3</v>
      </c>
      <c r="L598" s="140" t="s">
        <v>3</v>
      </c>
      <c r="M598" s="145" t="s">
        <v>3</v>
      </c>
    </row>
    <row r="599" spans="1:13" ht="14" customHeight="1" x14ac:dyDescent="0.3">
      <c r="A599" s="9">
        <v>2</v>
      </c>
      <c r="B599" s="9" t="s">
        <v>0</v>
      </c>
      <c r="C599" s="140" t="s">
        <v>4</v>
      </c>
      <c r="D599" s="141" t="s">
        <v>1268</v>
      </c>
      <c r="E599" s="141" t="s">
        <v>1452</v>
      </c>
      <c r="F599" s="142" t="s">
        <v>1453</v>
      </c>
      <c r="G599" s="143">
        <v>873400</v>
      </c>
      <c r="H599" s="144">
        <v>718000</v>
      </c>
      <c r="I599" s="144">
        <v>155400</v>
      </c>
      <c r="J599" s="76" t="str">
        <f>IF(Table13[[#This Row],[Nilai Selisih]]&gt;100000,"Recommend","Revise")</f>
        <v>Recommend</v>
      </c>
      <c r="K599" s="17" t="s">
        <v>3</v>
      </c>
      <c r="L599" s="140" t="s">
        <v>3</v>
      </c>
      <c r="M599" s="145" t="s">
        <v>3</v>
      </c>
    </row>
    <row r="600" spans="1:13" ht="14" customHeight="1" x14ac:dyDescent="0.3">
      <c r="A600" s="9">
        <v>2</v>
      </c>
      <c r="B600" s="9" t="s">
        <v>0</v>
      </c>
      <c r="C600" s="140" t="s">
        <v>4</v>
      </c>
      <c r="D600" s="141" t="s">
        <v>1268</v>
      </c>
      <c r="E600" s="141" t="s">
        <v>1454</v>
      </c>
      <c r="F600" s="142" t="s">
        <v>1455</v>
      </c>
      <c r="G600" s="143">
        <v>753648</v>
      </c>
      <c r="H600" s="144">
        <v>756000</v>
      </c>
      <c r="I600" s="144">
        <v>-2352</v>
      </c>
      <c r="J600" s="76" t="str">
        <f>IF(Table13[[#This Row],[Nilai Selisih]]&gt;100000,"Recommend","Revise")</f>
        <v>Revise</v>
      </c>
      <c r="K600" s="17" t="s">
        <v>3</v>
      </c>
      <c r="L600" s="140" t="s">
        <v>3</v>
      </c>
      <c r="M600" s="145" t="s">
        <v>3</v>
      </c>
    </row>
    <row r="601" spans="1:13" ht="14" customHeight="1" x14ac:dyDescent="0.3">
      <c r="A601" s="9">
        <v>2</v>
      </c>
      <c r="B601" s="9" t="s">
        <v>0</v>
      </c>
      <c r="C601" s="140" t="s">
        <v>4</v>
      </c>
      <c r="D601" s="141" t="s">
        <v>1268</v>
      </c>
      <c r="E601" s="141" t="s">
        <v>1456</v>
      </c>
      <c r="F601" s="142" t="s">
        <v>1457</v>
      </c>
      <c r="G601" s="143">
        <v>983639</v>
      </c>
      <c r="H601" s="144">
        <v>680000</v>
      </c>
      <c r="I601" s="144">
        <v>303639</v>
      </c>
      <c r="J601" s="76" t="str">
        <f>IF(Table13[[#This Row],[Nilai Selisih]]&gt;100000,"Recommend","Revise")</f>
        <v>Recommend</v>
      </c>
      <c r="K601" s="17" t="s">
        <v>3</v>
      </c>
      <c r="L601" s="140" t="s">
        <v>3</v>
      </c>
      <c r="M601" s="145" t="s">
        <v>3</v>
      </c>
    </row>
    <row r="602" spans="1:13" ht="14" customHeight="1" x14ac:dyDescent="0.3">
      <c r="A602" s="9">
        <v>2</v>
      </c>
      <c r="B602" s="9" t="s">
        <v>0</v>
      </c>
      <c r="C602" s="140" t="s">
        <v>4</v>
      </c>
      <c r="D602" s="141" t="s">
        <v>1268</v>
      </c>
      <c r="E602" s="141" t="s">
        <v>1458</v>
      </c>
      <c r="F602" s="142" t="s">
        <v>1459</v>
      </c>
      <c r="G602" s="143">
        <v>763846</v>
      </c>
      <c r="H602" s="144">
        <v>550000</v>
      </c>
      <c r="I602" s="144">
        <v>213846</v>
      </c>
      <c r="J602" s="76" t="str">
        <f>IF(Table13[[#This Row],[Nilai Selisih]]&gt;100000,"Recommend","Revise")</f>
        <v>Recommend</v>
      </c>
      <c r="K602" s="17" t="s">
        <v>3</v>
      </c>
      <c r="L602" s="140" t="s">
        <v>3</v>
      </c>
      <c r="M602" s="145" t="s">
        <v>3</v>
      </c>
    </row>
    <row r="603" spans="1:13" ht="14" customHeight="1" x14ac:dyDescent="0.3">
      <c r="A603" s="9">
        <v>2</v>
      </c>
      <c r="B603" s="9" t="s">
        <v>0</v>
      </c>
      <c r="C603" s="140" t="s">
        <v>4</v>
      </c>
      <c r="D603" s="141" t="s">
        <v>1268</v>
      </c>
      <c r="E603" s="141" t="s">
        <v>1460</v>
      </c>
      <c r="F603" s="142" t="s">
        <v>1461</v>
      </c>
      <c r="G603" s="143">
        <v>599195</v>
      </c>
      <c r="H603" s="144">
        <v>520000</v>
      </c>
      <c r="I603" s="144">
        <v>79195</v>
      </c>
      <c r="J603" s="76" t="str">
        <f>IF(Table13[[#This Row],[Nilai Selisih]]&gt;100000,"Recommend","Revise")</f>
        <v>Revise</v>
      </c>
      <c r="K603" s="17" t="s">
        <v>3</v>
      </c>
      <c r="L603" s="140" t="s">
        <v>3</v>
      </c>
      <c r="M603" s="145" t="s">
        <v>3</v>
      </c>
    </row>
    <row r="604" spans="1:13" ht="14" customHeight="1" x14ac:dyDescent="0.3">
      <c r="A604" s="9">
        <v>2</v>
      </c>
      <c r="B604" s="9" t="s">
        <v>0</v>
      </c>
      <c r="C604" s="140" t="s">
        <v>4</v>
      </c>
      <c r="D604" s="141" t="s">
        <v>1268</v>
      </c>
      <c r="E604" s="141" t="s">
        <v>1462</v>
      </c>
      <c r="F604" s="142" t="s">
        <v>1463</v>
      </c>
      <c r="G604" s="143">
        <v>702146</v>
      </c>
      <c r="H604" s="144">
        <v>635000</v>
      </c>
      <c r="I604" s="144">
        <v>67146</v>
      </c>
      <c r="J604" s="76" t="str">
        <f>IF(Table13[[#This Row],[Nilai Selisih]]&gt;100000,"Recommend","Revise")</f>
        <v>Revise</v>
      </c>
      <c r="K604" s="17" t="s">
        <v>3</v>
      </c>
      <c r="L604" s="140" t="s">
        <v>3</v>
      </c>
      <c r="M604" s="145" t="s">
        <v>3</v>
      </c>
    </row>
    <row r="605" spans="1:13" ht="14" customHeight="1" x14ac:dyDescent="0.3">
      <c r="A605" s="9">
        <v>2</v>
      </c>
      <c r="B605" s="9" t="s">
        <v>0</v>
      </c>
      <c r="C605" s="140" t="s">
        <v>4</v>
      </c>
      <c r="D605" s="141" t="s">
        <v>1268</v>
      </c>
      <c r="E605" s="141" t="s">
        <v>1464</v>
      </c>
      <c r="F605" s="142" t="s">
        <v>1465</v>
      </c>
      <c r="G605" s="143">
        <v>1137236</v>
      </c>
      <c r="H605" s="144">
        <v>850000</v>
      </c>
      <c r="I605" s="144">
        <v>287236</v>
      </c>
      <c r="J605" s="76" t="str">
        <f>IF(Table13[[#This Row],[Nilai Selisih]]&gt;100000,"Recommend","Revise")</f>
        <v>Recommend</v>
      </c>
      <c r="K605" s="17" t="s">
        <v>3</v>
      </c>
      <c r="L605" s="140" t="s">
        <v>3</v>
      </c>
      <c r="M605" s="145" t="s">
        <v>3</v>
      </c>
    </row>
    <row r="606" spans="1:13" ht="14" customHeight="1" x14ac:dyDescent="0.3">
      <c r="A606" s="9">
        <v>2</v>
      </c>
      <c r="B606" s="9" t="s">
        <v>0</v>
      </c>
      <c r="C606" s="140" t="s">
        <v>4</v>
      </c>
      <c r="D606" s="141" t="s">
        <v>1268</v>
      </c>
      <c r="E606" s="141" t="s">
        <v>1466</v>
      </c>
      <c r="F606" s="142" t="s">
        <v>1467</v>
      </c>
      <c r="G606" s="143">
        <v>650190</v>
      </c>
      <c r="H606" s="144">
        <v>495000</v>
      </c>
      <c r="I606" s="144">
        <v>155190</v>
      </c>
      <c r="J606" s="76" t="str">
        <f>IF(Table13[[#This Row],[Nilai Selisih]]&gt;100000,"Recommend","Revise")</f>
        <v>Recommend</v>
      </c>
      <c r="K606" s="17" t="s">
        <v>3</v>
      </c>
      <c r="L606" s="140" t="s">
        <v>3</v>
      </c>
      <c r="M606" s="145" t="s">
        <v>3</v>
      </c>
    </row>
    <row r="607" spans="1:13" ht="14" customHeight="1" x14ac:dyDescent="0.3">
      <c r="A607" s="9">
        <v>2</v>
      </c>
      <c r="B607" s="9" t="s">
        <v>0</v>
      </c>
      <c r="C607" s="140" t="s">
        <v>4</v>
      </c>
      <c r="D607" s="141" t="s">
        <v>1268</v>
      </c>
      <c r="E607" s="141" t="s">
        <v>1468</v>
      </c>
      <c r="F607" s="142" t="s">
        <v>1469</v>
      </c>
      <c r="G607" s="143">
        <v>1432822</v>
      </c>
      <c r="H607" s="144">
        <v>730000</v>
      </c>
      <c r="I607" s="144">
        <v>702822</v>
      </c>
      <c r="J607" s="76" t="str">
        <f>IF(Table13[[#This Row],[Nilai Selisih]]&gt;100000,"Recommend","Revise")</f>
        <v>Recommend</v>
      </c>
      <c r="K607" s="17" t="s">
        <v>3</v>
      </c>
      <c r="L607" s="140" t="s">
        <v>3</v>
      </c>
      <c r="M607" s="145" t="s">
        <v>3</v>
      </c>
    </row>
    <row r="608" spans="1:13" ht="14" customHeight="1" x14ac:dyDescent="0.3">
      <c r="A608" s="9">
        <v>2</v>
      </c>
      <c r="B608" s="9" t="s">
        <v>0</v>
      </c>
      <c r="C608" s="140" t="s">
        <v>4</v>
      </c>
      <c r="D608" s="141" t="s">
        <v>1268</v>
      </c>
      <c r="E608" s="141" t="s">
        <v>1470</v>
      </c>
      <c r="F608" s="142" t="s">
        <v>1471</v>
      </c>
      <c r="G608" s="143">
        <v>952543</v>
      </c>
      <c r="H608" s="144">
        <v>795000</v>
      </c>
      <c r="I608" s="144">
        <v>157543</v>
      </c>
      <c r="J608" s="76" t="str">
        <f>IF(Table13[[#This Row],[Nilai Selisih]]&gt;100000,"Recommend","Revise")</f>
        <v>Recommend</v>
      </c>
      <c r="K608" s="17" t="s">
        <v>3</v>
      </c>
      <c r="L608" s="145" t="s">
        <v>3</v>
      </c>
      <c r="M608" s="145" t="s">
        <v>3</v>
      </c>
    </row>
    <row r="609" spans="1:13" ht="14" customHeight="1" x14ac:dyDescent="0.3">
      <c r="A609" s="9">
        <v>2</v>
      </c>
      <c r="B609" s="9" t="s">
        <v>0</v>
      </c>
      <c r="C609" s="147" t="s">
        <v>4</v>
      </c>
      <c r="D609" s="147" t="s">
        <v>1268</v>
      </c>
      <c r="E609" s="147" t="s">
        <v>1472</v>
      </c>
      <c r="F609" s="148" t="s">
        <v>1473</v>
      </c>
      <c r="G609" s="125">
        <v>739011</v>
      </c>
      <c r="H609" s="125">
        <v>635000</v>
      </c>
      <c r="I609" s="125">
        <v>104011</v>
      </c>
      <c r="J609" s="76" t="str">
        <f>IF(Table13[[#This Row],[Nilai Selisih]]&gt;100000,"Recommend","Revise")</f>
        <v>Recommend</v>
      </c>
      <c r="K609" s="17" t="s">
        <v>3</v>
      </c>
      <c r="L609" s="147" t="s">
        <v>3</v>
      </c>
      <c r="M609" s="145" t="s">
        <v>3</v>
      </c>
    </row>
    <row r="610" spans="1:13" ht="14" customHeight="1" x14ac:dyDescent="0.3">
      <c r="A610" s="9">
        <v>2</v>
      </c>
      <c r="B610" s="9" t="s">
        <v>0</v>
      </c>
      <c r="C610" s="147" t="s">
        <v>4</v>
      </c>
      <c r="D610" s="147" t="s">
        <v>30</v>
      </c>
      <c r="E610" s="147" t="s">
        <v>1474</v>
      </c>
      <c r="F610" s="148" t="s">
        <v>1475</v>
      </c>
      <c r="G610" s="125">
        <v>877107</v>
      </c>
      <c r="H610" s="125">
        <v>695000</v>
      </c>
      <c r="I610" s="125">
        <v>182107</v>
      </c>
      <c r="J610" s="76" t="str">
        <f>IF(Table13[[#This Row],[Nilai Selisih]]&gt;100000,"Recommend","Revise")</f>
        <v>Recommend</v>
      </c>
      <c r="K610" s="17" t="s">
        <v>3</v>
      </c>
      <c r="L610" s="147" t="s">
        <v>3</v>
      </c>
      <c r="M610" s="145" t="s">
        <v>3</v>
      </c>
    </row>
    <row r="611" spans="1:13" ht="14" customHeight="1" x14ac:dyDescent="0.3">
      <c r="A611" s="9">
        <v>2</v>
      </c>
      <c r="B611" s="9" t="s">
        <v>0</v>
      </c>
      <c r="C611" s="147" t="s">
        <v>4</v>
      </c>
      <c r="D611" s="147" t="s">
        <v>30</v>
      </c>
      <c r="E611" s="147" t="s">
        <v>1476</v>
      </c>
      <c r="F611" s="148" t="s">
        <v>1477</v>
      </c>
      <c r="G611" s="125">
        <v>643522</v>
      </c>
      <c r="H611" s="125">
        <v>530000</v>
      </c>
      <c r="I611" s="125">
        <v>113522</v>
      </c>
      <c r="J611" s="76" t="str">
        <f>IF(Table13[[#This Row],[Nilai Selisih]]&gt;100000,"Recommend","Revise")</f>
        <v>Recommend</v>
      </c>
      <c r="K611" s="17" t="s">
        <v>3</v>
      </c>
      <c r="L611" s="147" t="s">
        <v>3</v>
      </c>
      <c r="M611" s="145" t="s">
        <v>3</v>
      </c>
    </row>
    <row r="612" spans="1:13" ht="14" customHeight="1" x14ac:dyDescent="0.3">
      <c r="A612" s="9">
        <v>2</v>
      </c>
      <c r="B612" s="9" t="s">
        <v>0</v>
      </c>
      <c r="C612" s="147" t="s">
        <v>4</v>
      </c>
      <c r="D612" s="147" t="s">
        <v>30</v>
      </c>
      <c r="E612" s="147" t="s">
        <v>1478</v>
      </c>
      <c r="F612" s="148" t="s">
        <v>1479</v>
      </c>
      <c r="G612" s="125">
        <v>542683</v>
      </c>
      <c r="H612" s="125">
        <v>490000</v>
      </c>
      <c r="I612" s="125">
        <v>52683</v>
      </c>
      <c r="J612" s="76" t="str">
        <f>IF(Table13[[#This Row],[Nilai Selisih]]&gt;100000,"Recommend","Revise")</f>
        <v>Revise</v>
      </c>
      <c r="K612" s="17" t="s">
        <v>3</v>
      </c>
      <c r="L612" s="147" t="s">
        <v>3</v>
      </c>
      <c r="M612" s="145" t="s">
        <v>3</v>
      </c>
    </row>
    <row r="613" spans="1:13" ht="14" customHeight="1" x14ac:dyDescent="0.3">
      <c r="A613" s="9">
        <v>2</v>
      </c>
      <c r="B613" s="9" t="s">
        <v>0</v>
      </c>
      <c r="C613" s="147" t="s">
        <v>4</v>
      </c>
      <c r="D613" s="147" t="s">
        <v>30</v>
      </c>
      <c r="E613" s="147" t="s">
        <v>1480</v>
      </c>
      <c r="F613" s="148" t="s">
        <v>1481</v>
      </c>
      <c r="G613" s="125">
        <v>1332266</v>
      </c>
      <c r="H613" s="125">
        <v>900000</v>
      </c>
      <c r="I613" s="125">
        <v>432266</v>
      </c>
      <c r="J613" s="76" t="str">
        <f>IF(Table13[[#This Row],[Nilai Selisih]]&gt;100000,"Recommend","Revise")</f>
        <v>Recommend</v>
      </c>
      <c r="K613" s="17" t="s">
        <v>3</v>
      </c>
      <c r="L613" s="147" t="s">
        <v>3</v>
      </c>
      <c r="M613" s="145" t="s">
        <v>3</v>
      </c>
    </row>
    <row r="614" spans="1:13" ht="14" customHeight="1" x14ac:dyDescent="0.3">
      <c r="A614" s="9">
        <v>2</v>
      </c>
      <c r="B614" s="9" t="s">
        <v>0</v>
      </c>
      <c r="C614" s="147" t="s">
        <v>4</v>
      </c>
      <c r="D614" s="147" t="s">
        <v>30</v>
      </c>
      <c r="E614" s="147" t="s">
        <v>1482</v>
      </c>
      <c r="F614" s="148" t="s">
        <v>1483</v>
      </c>
      <c r="G614" s="125">
        <v>1078363</v>
      </c>
      <c r="H614" s="125">
        <v>795000</v>
      </c>
      <c r="I614" s="125">
        <v>283363</v>
      </c>
      <c r="J614" s="76" t="str">
        <f>IF(Table13[[#This Row],[Nilai Selisih]]&gt;100000,"Recommend","Revise")</f>
        <v>Recommend</v>
      </c>
      <c r="K614" s="17" t="s">
        <v>3</v>
      </c>
      <c r="L614" s="147" t="s">
        <v>3</v>
      </c>
      <c r="M614" s="145" t="s">
        <v>3</v>
      </c>
    </row>
    <row r="615" spans="1:13" ht="14" customHeight="1" x14ac:dyDescent="0.3">
      <c r="A615" s="9">
        <v>2</v>
      </c>
      <c r="B615" s="9" t="s">
        <v>0</v>
      </c>
      <c r="C615" s="147" t="s">
        <v>4</v>
      </c>
      <c r="D615" s="147" t="s">
        <v>30</v>
      </c>
      <c r="E615" s="147" t="s">
        <v>1484</v>
      </c>
      <c r="F615" s="148" t="s">
        <v>1485</v>
      </c>
      <c r="G615" s="149">
        <v>546291</v>
      </c>
      <c r="H615" s="125">
        <v>400000</v>
      </c>
      <c r="I615" s="125">
        <v>146291</v>
      </c>
      <c r="J615" s="76" t="str">
        <f>IF(Table13[[#This Row],[Nilai Selisih]]&gt;100000,"Recommend","Revise")</f>
        <v>Recommend</v>
      </c>
      <c r="K615" s="17" t="s">
        <v>3</v>
      </c>
      <c r="L615" s="147" t="s">
        <v>3</v>
      </c>
      <c r="M615" s="145" t="s">
        <v>3</v>
      </c>
    </row>
    <row r="616" spans="1:13" ht="14" customHeight="1" x14ac:dyDescent="0.3">
      <c r="A616" s="9">
        <v>2</v>
      </c>
      <c r="B616" s="9" t="s">
        <v>0</v>
      </c>
      <c r="C616" s="147" t="s">
        <v>4</v>
      </c>
      <c r="D616" s="147" t="s">
        <v>30</v>
      </c>
      <c r="E616" s="147" t="s">
        <v>1486</v>
      </c>
      <c r="F616" s="148" t="s">
        <v>1487</v>
      </c>
      <c r="G616" s="149">
        <v>697881</v>
      </c>
      <c r="H616" s="125">
        <v>505000</v>
      </c>
      <c r="I616" s="125">
        <v>192881</v>
      </c>
      <c r="J616" s="76" t="str">
        <f>IF(Table13[[#This Row],[Nilai Selisih]]&gt;100000,"Recommend","Revise")</f>
        <v>Recommend</v>
      </c>
      <c r="K616" s="17" t="s">
        <v>3</v>
      </c>
      <c r="L616" s="147" t="s">
        <v>3</v>
      </c>
      <c r="M616" s="145" t="s">
        <v>3</v>
      </c>
    </row>
    <row r="617" spans="1:13" ht="14" customHeight="1" x14ac:dyDescent="0.3">
      <c r="A617" s="9">
        <v>2</v>
      </c>
      <c r="B617" s="9" t="s">
        <v>0</v>
      </c>
      <c r="C617" s="150" t="s">
        <v>4</v>
      </c>
      <c r="D617" s="151" t="s">
        <v>30</v>
      </c>
      <c r="E617" s="151" t="s">
        <v>1488</v>
      </c>
      <c r="F617" s="152" t="s">
        <v>1489</v>
      </c>
      <c r="G617" s="153">
        <v>577658</v>
      </c>
      <c r="H617" s="153">
        <v>475000</v>
      </c>
      <c r="I617" s="153">
        <v>102658</v>
      </c>
      <c r="J617" s="76" t="str">
        <f>IF(Table13[[#This Row],[Nilai Selisih]]&gt;100000,"Recommend","Revise")</f>
        <v>Recommend</v>
      </c>
      <c r="K617" s="17" t="s">
        <v>3</v>
      </c>
      <c r="L617" s="150" t="s">
        <v>3</v>
      </c>
      <c r="M617" s="151" t="s">
        <v>3</v>
      </c>
    </row>
    <row r="618" spans="1:13" ht="14" customHeight="1" x14ac:dyDescent="0.3">
      <c r="A618" s="9">
        <v>2</v>
      </c>
      <c r="B618" s="9" t="s">
        <v>0</v>
      </c>
      <c r="C618" s="140" t="s">
        <v>4</v>
      </c>
      <c r="D618" s="141" t="s">
        <v>30</v>
      </c>
      <c r="E618" s="141" t="s">
        <v>1490</v>
      </c>
      <c r="F618" s="142" t="s">
        <v>1491</v>
      </c>
      <c r="G618" s="144">
        <v>652621</v>
      </c>
      <c r="H618" s="144">
        <v>740000</v>
      </c>
      <c r="I618" s="144">
        <v>-87379</v>
      </c>
      <c r="J618" s="76" t="str">
        <f>IF(Table13[[#This Row],[Nilai Selisih]]&gt;100000,"Recommend","Revise")</f>
        <v>Revise</v>
      </c>
      <c r="K618" s="17" t="s">
        <v>3</v>
      </c>
      <c r="L618" s="151" t="s">
        <v>3</v>
      </c>
      <c r="M618" s="151" t="s">
        <v>3</v>
      </c>
    </row>
    <row r="619" spans="1:13" ht="14" customHeight="1" x14ac:dyDescent="0.3">
      <c r="A619" s="9">
        <v>2</v>
      </c>
      <c r="B619" s="9" t="s">
        <v>0</v>
      </c>
      <c r="C619" s="140" t="s">
        <v>4</v>
      </c>
      <c r="D619" s="141" t="s">
        <v>30</v>
      </c>
      <c r="E619" s="141" t="s">
        <v>1492</v>
      </c>
      <c r="F619" s="142" t="s">
        <v>1493</v>
      </c>
      <c r="G619" s="144">
        <v>2749907</v>
      </c>
      <c r="H619" s="144">
        <v>2900000</v>
      </c>
      <c r="I619" s="144">
        <v>-150093</v>
      </c>
      <c r="J619" s="76" t="str">
        <f>IF(Table13[[#This Row],[Nilai Selisih]]&gt;100000,"Recommend","Revise")</f>
        <v>Revise</v>
      </c>
      <c r="K619" s="17" t="s">
        <v>3</v>
      </c>
      <c r="L619" s="151" t="s">
        <v>3</v>
      </c>
      <c r="M619" s="151" t="s">
        <v>3</v>
      </c>
    </row>
    <row r="620" spans="1:13" ht="14" customHeight="1" x14ac:dyDescent="0.3">
      <c r="A620" s="9">
        <v>2</v>
      </c>
      <c r="B620" s="9" t="s">
        <v>0</v>
      </c>
      <c r="C620" s="140" t="s">
        <v>4</v>
      </c>
      <c r="D620" s="141" t="s">
        <v>1814</v>
      </c>
      <c r="E620" s="141" t="s">
        <v>1494</v>
      </c>
      <c r="F620" s="142" t="s">
        <v>1495</v>
      </c>
      <c r="G620" s="144">
        <v>647468</v>
      </c>
      <c r="H620" s="144">
        <v>450000</v>
      </c>
      <c r="I620" s="144">
        <v>197468</v>
      </c>
      <c r="J620" s="76" t="str">
        <f>IF(Table13[[#This Row],[Nilai Selisih]]&gt;100000,"Recommend","Revise")</f>
        <v>Recommend</v>
      </c>
      <c r="K620" s="17" t="s">
        <v>3</v>
      </c>
      <c r="L620" s="151" t="s">
        <v>3</v>
      </c>
      <c r="M620" s="151" t="s">
        <v>3</v>
      </c>
    </row>
    <row r="621" spans="1:13" ht="14" customHeight="1" x14ac:dyDescent="0.3">
      <c r="A621" s="9">
        <v>2</v>
      </c>
      <c r="B621" s="9" t="s">
        <v>0</v>
      </c>
      <c r="C621" s="140" t="s">
        <v>4</v>
      </c>
      <c r="D621" s="141" t="s">
        <v>1814</v>
      </c>
      <c r="E621" s="141" t="s">
        <v>1496</v>
      </c>
      <c r="F621" s="142" t="s">
        <v>1497</v>
      </c>
      <c r="G621" s="144">
        <v>997082</v>
      </c>
      <c r="H621" s="144">
        <v>960000</v>
      </c>
      <c r="I621" s="144">
        <v>37082</v>
      </c>
      <c r="J621" s="76" t="str">
        <f>IF(Table13[[#This Row],[Nilai Selisih]]&gt;100000,"Recommend","Revise")</f>
        <v>Revise</v>
      </c>
      <c r="K621" s="17" t="s">
        <v>3</v>
      </c>
      <c r="L621" s="151" t="s">
        <v>3</v>
      </c>
      <c r="M621" s="151" t="s">
        <v>3</v>
      </c>
    </row>
    <row r="622" spans="1:13" ht="14" customHeight="1" x14ac:dyDescent="0.3">
      <c r="A622" s="9">
        <v>2</v>
      </c>
      <c r="B622" s="9" t="s">
        <v>0</v>
      </c>
      <c r="C622" s="140" t="s">
        <v>4</v>
      </c>
      <c r="D622" s="141" t="s">
        <v>1752</v>
      </c>
      <c r="E622" s="141" t="s">
        <v>1498</v>
      </c>
      <c r="F622" s="142" t="s">
        <v>1499</v>
      </c>
      <c r="G622" s="144">
        <v>992643</v>
      </c>
      <c r="H622" s="144">
        <v>850000</v>
      </c>
      <c r="I622" s="144">
        <v>142643</v>
      </c>
      <c r="J622" s="76" t="str">
        <f>IF(Table13[[#This Row],[Nilai Selisih]]&gt;100000,"Recommend","Revise")</f>
        <v>Recommend</v>
      </c>
      <c r="K622" s="17" t="s">
        <v>3</v>
      </c>
      <c r="L622" s="151" t="s">
        <v>3</v>
      </c>
      <c r="M622" s="151" t="s">
        <v>3</v>
      </c>
    </row>
    <row r="623" spans="1:13" ht="14" customHeight="1" x14ac:dyDescent="0.3">
      <c r="A623" s="9">
        <v>2</v>
      </c>
      <c r="B623" s="9" t="s">
        <v>0</v>
      </c>
      <c r="C623" s="140" t="s">
        <v>4</v>
      </c>
      <c r="D623" s="141" t="s">
        <v>1752</v>
      </c>
      <c r="E623" s="141" t="s">
        <v>1500</v>
      </c>
      <c r="F623" s="142" t="s">
        <v>1501</v>
      </c>
      <c r="G623" s="144">
        <v>665205</v>
      </c>
      <c r="H623" s="144">
        <v>579000</v>
      </c>
      <c r="I623" s="144">
        <v>86205</v>
      </c>
      <c r="J623" s="76" t="str">
        <f>IF(Table13[[#This Row],[Nilai Selisih]]&gt;100000,"Recommend","Revise")</f>
        <v>Revise</v>
      </c>
      <c r="K623" s="17" t="s">
        <v>3</v>
      </c>
      <c r="L623" s="151" t="s">
        <v>3</v>
      </c>
      <c r="M623" s="151" t="s">
        <v>3</v>
      </c>
    </row>
    <row r="624" spans="1:13" ht="14" customHeight="1" x14ac:dyDescent="0.3">
      <c r="A624" s="9">
        <v>2</v>
      </c>
      <c r="B624" s="9" t="s">
        <v>0</v>
      </c>
      <c r="C624" s="140" t="s">
        <v>4</v>
      </c>
      <c r="D624" s="141" t="s">
        <v>1752</v>
      </c>
      <c r="E624" s="141" t="s">
        <v>1502</v>
      </c>
      <c r="F624" s="142" t="s">
        <v>1503</v>
      </c>
      <c r="G624" s="144">
        <v>999295</v>
      </c>
      <c r="H624" s="144">
        <v>825000</v>
      </c>
      <c r="I624" s="144">
        <v>174295</v>
      </c>
      <c r="J624" s="76" t="str">
        <f>IF(Table13[[#This Row],[Nilai Selisih]]&gt;100000,"Recommend","Revise")</f>
        <v>Recommend</v>
      </c>
      <c r="K624" s="17" t="s">
        <v>3</v>
      </c>
      <c r="L624" s="151" t="s">
        <v>3</v>
      </c>
      <c r="M624" s="151" t="s">
        <v>3</v>
      </c>
    </row>
    <row r="625" spans="1:13" ht="14" customHeight="1" x14ac:dyDescent="0.3">
      <c r="A625" s="9">
        <v>2</v>
      </c>
      <c r="B625" s="9" t="s">
        <v>0</v>
      </c>
      <c r="C625" s="140" t="s">
        <v>4</v>
      </c>
      <c r="D625" s="141" t="s">
        <v>1268</v>
      </c>
      <c r="E625" s="141" t="s">
        <v>1504</v>
      </c>
      <c r="F625" s="142" t="s">
        <v>1505</v>
      </c>
      <c r="G625" s="144">
        <v>561958</v>
      </c>
      <c r="H625" s="144">
        <v>480000</v>
      </c>
      <c r="I625" s="144">
        <v>81958</v>
      </c>
      <c r="J625" s="76" t="str">
        <f>IF(Table13[[#This Row],[Nilai Selisih]]&gt;100000,"Recommend","Revise")</f>
        <v>Revise</v>
      </c>
      <c r="K625" s="17" t="s">
        <v>3</v>
      </c>
      <c r="L625" s="151" t="s">
        <v>3</v>
      </c>
      <c r="M625" s="151" t="s">
        <v>3</v>
      </c>
    </row>
    <row r="626" spans="1:13" ht="14" customHeight="1" x14ac:dyDescent="0.3">
      <c r="A626" s="9">
        <v>2</v>
      </c>
      <c r="B626" s="9" t="s">
        <v>0</v>
      </c>
      <c r="C626" s="140" t="s">
        <v>4</v>
      </c>
      <c r="D626" s="141" t="s">
        <v>1268</v>
      </c>
      <c r="E626" s="141" t="s">
        <v>1506</v>
      </c>
      <c r="F626" s="142" t="s">
        <v>1507</v>
      </c>
      <c r="G626" s="144">
        <v>676082</v>
      </c>
      <c r="H626" s="144">
        <v>525000</v>
      </c>
      <c r="I626" s="144">
        <v>151082</v>
      </c>
      <c r="J626" s="76" t="str">
        <f>IF(Table13[[#This Row],[Nilai Selisih]]&gt;100000,"Recommend","Revise")</f>
        <v>Recommend</v>
      </c>
      <c r="K626" s="17" t="s">
        <v>3</v>
      </c>
      <c r="L626" s="151" t="s">
        <v>3</v>
      </c>
      <c r="M626" s="151" t="s">
        <v>3</v>
      </c>
    </row>
    <row r="627" spans="1:13" ht="14" customHeight="1" x14ac:dyDescent="0.3">
      <c r="A627" s="9">
        <v>2</v>
      </c>
      <c r="B627" s="9" t="s">
        <v>0</v>
      </c>
      <c r="C627" s="140" t="s">
        <v>4</v>
      </c>
      <c r="D627" s="141" t="s">
        <v>1817</v>
      </c>
      <c r="E627" s="141" t="s">
        <v>1508</v>
      </c>
      <c r="F627" s="142" t="s">
        <v>1509</v>
      </c>
      <c r="G627" s="144">
        <v>649538</v>
      </c>
      <c r="H627" s="144">
        <v>805000</v>
      </c>
      <c r="I627" s="144">
        <v>-155462</v>
      </c>
      <c r="J627" s="76" t="str">
        <f>IF(Table13[[#This Row],[Nilai Selisih]]&gt;100000,"Recommend","Revise")</f>
        <v>Revise</v>
      </c>
      <c r="K627" s="17" t="s">
        <v>3</v>
      </c>
      <c r="L627" s="151" t="s">
        <v>3</v>
      </c>
      <c r="M627" s="151" t="s">
        <v>3</v>
      </c>
    </row>
    <row r="628" spans="1:13" ht="14" customHeight="1" x14ac:dyDescent="0.3">
      <c r="A628" s="9">
        <v>2</v>
      </c>
      <c r="B628" s="9" t="s">
        <v>0</v>
      </c>
      <c r="C628" s="140" t="s">
        <v>4</v>
      </c>
      <c r="D628" s="141" t="s">
        <v>362</v>
      </c>
      <c r="E628" s="141" t="s">
        <v>1510</v>
      </c>
      <c r="F628" s="142" t="s">
        <v>1511</v>
      </c>
      <c r="G628" s="144">
        <v>1057647</v>
      </c>
      <c r="H628" s="144">
        <v>749000</v>
      </c>
      <c r="I628" s="144">
        <v>308647</v>
      </c>
      <c r="J628" s="76" t="str">
        <f>IF(Table13[[#This Row],[Nilai Selisih]]&gt;100000,"Recommend","Revise")</f>
        <v>Recommend</v>
      </c>
      <c r="K628" s="17" t="s">
        <v>3</v>
      </c>
      <c r="L628" s="151" t="s">
        <v>3</v>
      </c>
      <c r="M628" s="151" t="s">
        <v>3</v>
      </c>
    </row>
    <row r="629" spans="1:13" ht="14" customHeight="1" x14ac:dyDescent="0.3">
      <c r="A629" s="9">
        <v>2</v>
      </c>
      <c r="B629" s="9" t="s">
        <v>0</v>
      </c>
      <c r="C629" s="140" t="s">
        <v>4</v>
      </c>
      <c r="D629" s="141" t="s">
        <v>513</v>
      </c>
      <c r="E629" s="141" t="s">
        <v>1512</v>
      </c>
      <c r="F629" s="142" t="s">
        <v>1513</v>
      </c>
      <c r="G629" s="144">
        <v>653600</v>
      </c>
      <c r="H629" s="144">
        <v>615000</v>
      </c>
      <c r="I629" s="144">
        <v>38600</v>
      </c>
      <c r="J629" s="76" t="str">
        <f>IF(Table13[[#This Row],[Nilai Selisih]]&gt;100000,"Recommend","Revise")</f>
        <v>Revise</v>
      </c>
      <c r="K629" s="17" t="s">
        <v>3</v>
      </c>
      <c r="L629" s="151" t="s">
        <v>3</v>
      </c>
      <c r="M629" s="151" t="s">
        <v>3</v>
      </c>
    </row>
    <row r="630" spans="1:13" ht="14" customHeight="1" x14ac:dyDescent="0.3">
      <c r="A630" s="9">
        <v>2</v>
      </c>
      <c r="B630" s="9" t="s">
        <v>0</v>
      </c>
      <c r="C630" s="140" t="s">
        <v>4</v>
      </c>
      <c r="D630" s="141" t="s">
        <v>1809</v>
      </c>
      <c r="E630" s="141" t="s">
        <v>1514</v>
      </c>
      <c r="F630" s="142" t="s">
        <v>1515</v>
      </c>
      <c r="G630" s="144">
        <v>612520</v>
      </c>
      <c r="H630" s="144">
        <v>494000</v>
      </c>
      <c r="I630" s="144">
        <v>118520</v>
      </c>
      <c r="J630" s="76" t="str">
        <f>IF(Table13[[#This Row],[Nilai Selisih]]&gt;100000,"Recommend","Revise")</f>
        <v>Recommend</v>
      </c>
      <c r="K630" s="17" t="s">
        <v>3</v>
      </c>
      <c r="L630" s="151" t="s">
        <v>3</v>
      </c>
      <c r="M630" s="151" t="s">
        <v>3</v>
      </c>
    </row>
    <row r="631" spans="1:13" ht="14" customHeight="1" x14ac:dyDescent="0.3">
      <c r="A631" s="9">
        <v>2</v>
      </c>
      <c r="B631" s="9" t="s">
        <v>0</v>
      </c>
      <c r="C631" s="140" t="s">
        <v>4</v>
      </c>
      <c r="D631" s="141" t="s">
        <v>1809</v>
      </c>
      <c r="E631" s="141" t="s">
        <v>1516</v>
      </c>
      <c r="F631" s="142" t="s">
        <v>1517</v>
      </c>
      <c r="G631" s="144">
        <v>691069</v>
      </c>
      <c r="H631" s="144">
        <v>585000</v>
      </c>
      <c r="I631" s="144">
        <v>106069</v>
      </c>
      <c r="J631" s="76" t="str">
        <f>IF(Table13[[#This Row],[Nilai Selisih]]&gt;100000,"Recommend","Revise")</f>
        <v>Recommend</v>
      </c>
      <c r="K631" s="17" t="s">
        <v>3</v>
      </c>
      <c r="L631" s="151" t="s">
        <v>3</v>
      </c>
      <c r="M631" s="151" t="s">
        <v>3</v>
      </c>
    </row>
    <row r="632" spans="1:13" ht="14" customHeight="1" x14ac:dyDescent="0.3">
      <c r="A632" s="9">
        <v>2</v>
      </c>
      <c r="B632" s="9" t="s">
        <v>0</v>
      </c>
      <c r="C632" s="140" t="s">
        <v>4</v>
      </c>
      <c r="D632" s="141" t="s">
        <v>1812</v>
      </c>
      <c r="E632" s="141" t="s">
        <v>1518</v>
      </c>
      <c r="F632" s="142" t="s">
        <v>1519</v>
      </c>
      <c r="G632" s="144">
        <v>2550000</v>
      </c>
      <c r="H632" s="144">
        <v>728000</v>
      </c>
      <c r="I632" s="144">
        <v>1822000</v>
      </c>
      <c r="J632" s="76" t="str">
        <f>IF(Table13[[#This Row],[Nilai Selisih]]&gt;100000,"Recommend","Revise")</f>
        <v>Recommend</v>
      </c>
      <c r="K632" s="17" t="s">
        <v>3</v>
      </c>
      <c r="L632" s="151" t="s">
        <v>3</v>
      </c>
      <c r="M632" s="151" t="s">
        <v>3</v>
      </c>
    </row>
    <row r="633" spans="1:13" ht="14" customHeight="1" x14ac:dyDescent="0.3">
      <c r="A633" s="9">
        <v>2</v>
      </c>
      <c r="B633" s="9" t="s">
        <v>0</v>
      </c>
      <c r="C633" s="140" t="s">
        <v>4</v>
      </c>
      <c r="D633" s="141" t="s">
        <v>1812</v>
      </c>
      <c r="E633" s="141" t="s">
        <v>1520</v>
      </c>
      <c r="F633" s="142" t="s">
        <v>1521</v>
      </c>
      <c r="G633" s="144">
        <v>713277</v>
      </c>
      <c r="H633" s="144">
        <v>535000</v>
      </c>
      <c r="I633" s="144">
        <v>178277</v>
      </c>
      <c r="J633" s="76" t="str">
        <f>IF(Table13[[#This Row],[Nilai Selisih]]&gt;100000,"Recommend","Revise")</f>
        <v>Recommend</v>
      </c>
      <c r="K633" s="17" t="s">
        <v>3</v>
      </c>
      <c r="L633" s="151" t="s">
        <v>3</v>
      </c>
      <c r="M633" s="151" t="s">
        <v>3</v>
      </c>
    </row>
    <row r="634" spans="1:13" ht="14" customHeight="1" x14ac:dyDescent="0.3">
      <c r="A634" s="9">
        <v>2</v>
      </c>
      <c r="B634" s="9" t="s">
        <v>0</v>
      </c>
      <c r="C634" s="140" t="s">
        <v>4</v>
      </c>
      <c r="D634" s="141" t="s">
        <v>1812</v>
      </c>
      <c r="E634" s="141" t="s">
        <v>1522</v>
      </c>
      <c r="F634" s="142" t="s">
        <v>1523</v>
      </c>
      <c r="G634" s="144">
        <v>759746</v>
      </c>
      <c r="H634" s="144">
        <v>785000</v>
      </c>
      <c r="I634" s="144">
        <v>-25254</v>
      </c>
      <c r="J634" s="76" t="str">
        <f>IF(Table13[[#This Row],[Nilai Selisih]]&gt;100000,"Recommend","Revise")</f>
        <v>Revise</v>
      </c>
      <c r="K634" s="17" t="s">
        <v>3</v>
      </c>
      <c r="L634" s="151" t="s">
        <v>3</v>
      </c>
      <c r="M634" s="151" t="s">
        <v>3</v>
      </c>
    </row>
    <row r="635" spans="1:13" ht="14" customHeight="1" x14ac:dyDescent="0.3">
      <c r="A635" s="9">
        <v>2</v>
      </c>
      <c r="B635" s="9" t="s">
        <v>0</v>
      </c>
      <c r="C635" s="140" t="s">
        <v>4</v>
      </c>
      <c r="D635" s="141" t="s">
        <v>1530</v>
      </c>
      <c r="E635" s="141" t="s">
        <v>1524</v>
      </c>
      <c r="F635" s="142" t="s">
        <v>1525</v>
      </c>
      <c r="G635" s="144">
        <v>727885</v>
      </c>
      <c r="H635" s="144">
        <v>475000</v>
      </c>
      <c r="I635" s="144">
        <v>252885</v>
      </c>
      <c r="J635" s="76" t="str">
        <f>IF(Table13[[#This Row],[Nilai Selisih]]&gt;100000,"Recommend","Revise")</f>
        <v>Recommend</v>
      </c>
      <c r="K635" s="17" t="s">
        <v>3</v>
      </c>
      <c r="L635" s="151" t="s">
        <v>3</v>
      </c>
      <c r="M635" s="151" t="s">
        <v>3</v>
      </c>
    </row>
    <row r="636" spans="1:13" ht="14" customHeight="1" x14ac:dyDescent="0.3">
      <c r="A636" s="9">
        <v>2</v>
      </c>
      <c r="B636" s="9" t="s">
        <v>0</v>
      </c>
      <c r="C636" s="140" t="s">
        <v>4</v>
      </c>
      <c r="D636" s="141" t="s">
        <v>1806</v>
      </c>
      <c r="E636" s="141" t="s">
        <v>1526</v>
      </c>
      <c r="F636" s="142" t="s">
        <v>1527</v>
      </c>
      <c r="G636" s="144">
        <v>1995000</v>
      </c>
      <c r="H636" s="144">
        <v>965000</v>
      </c>
      <c r="I636" s="144">
        <v>1030000</v>
      </c>
      <c r="J636" s="76" t="str">
        <f>IF(Table13[[#This Row],[Nilai Selisih]]&gt;100000,"Recommend","Revise")</f>
        <v>Recommend</v>
      </c>
      <c r="K636" s="17" t="s">
        <v>3</v>
      </c>
      <c r="L636" s="151" t="s">
        <v>3</v>
      </c>
      <c r="M636" s="151" t="s">
        <v>3</v>
      </c>
    </row>
    <row r="637" spans="1:13" ht="14" customHeight="1" x14ac:dyDescent="0.3">
      <c r="A637" s="9">
        <v>2</v>
      </c>
      <c r="B637" s="9" t="s">
        <v>0</v>
      </c>
      <c r="C637" s="140" t="s">
        <v>4</v>
      </c>
      <c r="D637" s="141" t="s">
        <v>1806</v>
      </c>
      <c r="E637" s="141" t="s">
        <v>1528</v>
      </c>
      <c r="F637" s="142" t="s">
        <v>1529</v>
      </c>
      <c r="G637" s="144">
        <v>916607</v>
      </c>
      <c r="H637" s="144">
        <v>670000</v>
      </c>
      <c r="I637" s="144">
        <v>246607</v>
      </c>
      <c r="J637" s="76" t="str">
        <f>IF(Table13[[#This Row],[Nilai Selisih]]&gt;100000,"Recommend","Revise")</f>
        <v>Recommend</v>
      </c>
      <c r="K637" s="17" t="s">
        <v>3</v>
      </c>
      <c r="L637" s="151" t="s">
        <v>3</v>
      </c>
      <c r="M637" s="151" t="s">
        <v>3</v>
      </c>
    </row>
    <row r="638" spans="1:13" ht="14" customHeight="1" x14ac:dyDescent="0.3">
      <c r="A638" s="9">
        <v>2</v>
      </c>
      <c r="B638" s="9" t="s">
        <v>0</v>
      </c>
      <c r="C638" s="140" t="s">
        <v>4</v>
      </c>
      <c r="D638" s="141" t="s">
        <v>1806</v>
      </c>
      <c r="E638" s="141" t="s">
        <v>1531</v>
      </c>
      <c r="F638" s="142" t="s">
        <v>1532</v>
      </c>
      <c r="G638" s="144">
        <v>1388747</v>
      </c>
      <c r="H638" s="144">
        <v>670000</v>
      </c>
      <c r="I638" s="144">
        <v>718747</v>
      </c>
      <c r="J638" s="76" t="str">
        <f>IF(Table13[[#This Row],[Nilai Selisih]]&gt;100000,"Recommend","Revise")</f>
        <v>Recommend</v>
      </c>
      <c r="K638" s="17" t="s">
        <v>3</v>
      </c>
      <c r="L638" s="151" t="s">
        <v>3</v>
      </c>
      <c r="M638" s="151" t="s">
        <v>3</v>
      </c>
    </row>
    <row r="639" spans="1:13" ht="14" customHeight="1" x14ac:dyDescent="0.3">
      <c r="A639" s="9">
        <v>2</v>
      </c>
      <c r="B639" s="9" t="s">
        <v>0</v>
      </c>
      <c r="C639" s="140" t="s">
        <v>4</v>
      </c>
      <c r="D639" s="141" t="s">
        <v>1806</v>
      </c>
      <c r="E639" s="141" t="s">
        <v>1533</v>
      </c>
      <c r="F639" s="142" t="s">
        <v>1534</v>
      </c>
      <c r="G639" s="144">
        <v>763793</v>
      </c>
      <c r="H639" s="144">
        <v>738000</v>
      </c>
      <c r="I639" s="144">
        <v>25793</v>
      </c>
      <c r="J639" s="76" t="str">
        <f>IF(Table13[[#This Row],[Nilai Selisih]]&gt;100000,"Recommend","Revise")</f>
        <v>Revise</v>
      </c>
      <c r="K639" s="17" t="s">
        <v>3</v>
      </c>
      <c r="L639" s="151" t="s">
        <v>3</v>
      </c>
      <c r="M639" s="151" t="s">
        <v>3</v>
      </c>
    </row>
    <row r="640" spans="1:13" ht="14" customHeight="1" x14ac:dyDescent="0.3">
      <c r="A640" s="9">
        <v>2</v>
      </c>
      <c r="B640" s="9" t="s">
        <v>0</v>
      </c>
      <c r="C640" s="140" t="s">
        <v>4</v>
      </c>
      <c r="D640" s="141" t="s">
        <v>1806</v>
      </c>
      <c r="E640" s="141" t="s">
        <v>1535</v>
      </c>
      <c r="F640" s="142" t="s">
        <v>1536</v>
      </c>
      <c r="G640" s="144">
        <v>982438</v>
      </c>
      <c r="H640" s="144">
        <v>792000</v>
      </c>
      <c r="I640" s="144">
        <v>190438</v>
      </c>
      <c r="J640" s="76" t="str">
        <f>IF(Table13[[#This Row],[Nilai Selisih]]&gt;100000,"Recommend","Revise")</f>
        <v>Recommend</v>
      </c>
      <c r="K640" s="17" t="s">
        <v>3</v>
      </c>
      <c r="L640" s="151" t="s">
        <v>3</v>
      </c>
      <c r="M640" s="151" t="s">
        <v>3</v>
      </c>
    </row>
    <row r="641" spans="1:13" ht="14" customHeight="1" x14ac:dyDescent="0.3">
      <c r="A641" s="9">
        <v>2</v>
      </c>
      <c r="B641" s="9" t="s">
        <v>0</v>
      </c>
      <c r="C641" s="140" t="s">
        <v>4</v>
      </c>
      <c r="D641" s="141" t="s">
        <v>1806</v>
      </c>
      <c r="E641" s="141" t="s">
        <v>1537</v>
      </c>
      <c r="F641" s="142" t="s">
        <v>1538</v>
      </c>
      <c r="G641" s="144">
        <v>993068</v>
      </c>
      <c r="H641" s="144">
        <v>682000</v>
      </c>
      <c r="I641" s="144">
        <v>311068</v>
      </c>
      <c r="J641" s="76" t="str">
        <f>IF(Table13[[#This Row],[Nilai Selisih]]&gt;100000,"Recommend","Revise")</f>
        <v>Recommend</v>
      </c>
      <c r="K641" s="17" t="s">
        <v>3</v>
      </c>
      <c r="L641" s="151" t="s">
        <v>3</v>
      </c>
      <c r="M641" s="151" t="s">
        <v>3</v>
      </c>
    </row>
    <row r="642" spans="1:13" ht="14" customHeight="1" x14ac:dyDescent="0.3">
      <c r="A642" s="9">
        <v>2</v>
      </c>
      <c r="B642" s="9" t="s">
        <v>0</v>
      </c>
      <c r="C642" s="140" t="s">
        <v>4</v>
      </c>
      <c r="D642" s="141" t="s">
        <v>1806</v>
      </c>
      <c r="E642" s="141" t="s">
        <v>1539</v>
      </c>
      <c r="F642" s="142" t="s">
        <v>1540</v>
      </c>
      <c r="G642" s="144">
        <v>970812</v>
      </c>
      <c r="H642" s="144">
        <v>740000</v>
      </c>
      <c r="I642" s="144">
        <v>230812</v>
      </c>
      <c r="J642" s="76" t="str">
        <f>IF(Table13[[#This Row],[Nilai Selisih]]&gt;100000,"Recommend","Revise")</f>
        <v>Recommend</v>
      </c>
      <c r="K642" s="17" t="s">
        <v>3</v>
      </c>
      <c r="L642" s="151" t="s">
        <v>3</v>
      </c>
      <c r="M642" s="151" t="s">
        <v>3</v>
      </c>
    </row>
    <row r="643" spans="1:13" ht="14" customHeight="1" x14ac:dyDescent="0.3">
      <c r="A643" s="9">
        <v>2</v>
      </c>
      <c r="B643" s="9" t="s">
        <v>0</v>
      </c>
      <c r="C643" s="140" t="s">
        <v>4</v>
      </c>
      <c r="D643" s="141" t="s">
        <v>1804</v>
      </c>
      <c r="E643" s="141" t="s">
        <v>1541</v>
      </c>
      <c r="F643" s="142" t="s">
        <v>1542</v>
      </c>
      <c r="G643" s="144">
        <v>796680</v>
      </c>
      <c r="H643" s="144">
        <v>600000</v>
      </c>
      <c r="I643" s="144">
        <v>196680</v>
      </c>
      <c r="J643" s="76" t="str">
        <f>IF(Table13[[#This Row],[Nilai Selisih]]&gt;100000,"Recommend","Revise")</f>
        <v>Recommend</v>
      </c>
      <c r="K643" s="17" t="s">
        <v>3</v>
      </c>
      <c r="L643" s="151" t="s">
        <v>3</v>
      </c>
      <c r="M643" s="151" t="s">
        <v>3</v>
      </c>
    </row>
    <row r="644" spans="1:13" ht="14" customHeight="1" x14ac:dyDescent="0.3">
      <c r="A644" s="9">
        <v>2</v>
      </c>
      <c r="B644" s="9" t="s">
        <v>0</v>
      </c>
      <c r="C644" s="140" t="s">
        <v>4</v>
      </c>
      <c r="D644" s="141" t="s">
        <v>1804</v>
      </c>
      <c r="E644" s="141" t="s">
        <v>1543</v>
      </c>
      <c r="F644" s="142" t="s">
        <v>1544</v>
      </c>
      <c r="G644" s="144">
        <v>828638</v>
      </c>
      <c r="H644" s="144">
        <v>595000</v>
      </c>
      <c r="I644" s="144">
        <v>233638</v>
      </c>
      <c r="J644" s="76" t="str">
        <f>IF(Table13[[#This Row],[Nilai Selisih]]&gt;100000,"Recommend","Revise")</f>
        <v>Recommend</v>
      </c>
      <c r="K644" s="17" t="s">
        <v>3</v>
      </c>
      <c r="L644" s="151" t="s">
        <v>3</v>
      </c>
      <c r="M644" s="151" t="s">
        <v>3</v>
      </c>
    </row>
    <row r="645" spans="1:13" ht="14" customHeight="1" x14ac:dyDescent="0.3">
      <c r="A645" s="9">
        <v>2</v>
      </c>
      <c r="B645" s="9" t="s">
        <v>0</v>
      </c>
      <c r="C645" s="140" t="s">
        <v>4</v>
      </c>
      <c r="D645" s="141" t="s">
        <v>1810</v>
      </c>
      <c r="E645" s="141" t="s">
        <v>1545</v>
      </c>
      <c r="F645" s="142" t="s">
        <v>1546</v>
      </c>
      <c r="G645" s="144">
        <v>962553</v>
      </c>
      <c r="H645" s="144">
        <v>650000</v>
      </c>
      <c r="I645" s="144">
        <v>312553</v>
      </c>
      <c r="J645" s="76" t="str">
        <f>IF(Table13[[#This Row],[Nilai Selisih]]&gt;100000,"Recommend","Revise")</f>
        <v>Recommend</v>
      </c>
      <c r="K645" s="17" t="s">
        <v>3</v>
      </c>
      <c r="L645" s="151" t="s">
        <v>3</v>
      </c>
      <c r="M645" s="151" t="s">
        <v>3</v>
      </c>
    </row>
    <row r="646" spans="1:13" ht="14" customHeight="1" x14ac:dyDescent="0.3">
      <c r="A646" s="9">
        <v>2</v>
      </c>
      <c r="B646" s="9" t="s">
        <v>0</v>
      </c>
      <c r="C646" s="140" t="s">
        <v>4</v>
      </c>
      <c r="D646" s="141" t="s">
        <v>1810</v>
      </c>
      <c r="E646" s="141" t="s">
        <v>1547</v>
      </c>
      <c r="F646" s="142" t="s">
        <v>1548</v>
      </c>
      <c r="G646" s="144">
        <v>691638</v>
      </c>
      <c r="H646" s="144">
        <v>518000</v>
      </c>
      <c r="I646" s="144">
        <v>173638</v>
      </c>
      <c r="J646" s="76" t="str">
        <f>IF(Table13[[#This Row],[Nilai Selisih]]&gt;100000,"Recommend","Revise")</f>
        <v>Recommend</v>
      </c>
      <c r="K646" s="17" t="s">
        <v>3</v>
      </c>
      <c r="L646" s="151" t="s">
        <v>3</v>
      </c>
      <c r="M646" s="151" t="s">
        <v>3</v>
      </c>
    </row>
    <row r="647" spans="1:13" ht="14" customHeight="1" x14ac:dyDescent="0.3">
      <c r="A647" s="9">
        <v>2</v>
      </c>
      <c r="B647" s="9" t="s">
        <v>0</v>
      </c>
      <c r="C647" s="140" t="s">
        <v>4</v>
      </c>
      <c r="D647" s="141" t="s">
        <v>1804</v>
      </c>
      <c r="E647" s="141" t="s">
        <v>1549</v>
      </c>
      <c r="F647" s="142" t="s">
        <v>1550</v>
      </c>
      <c r="G647" s="144">
        <v>1133078</v>
      </c>
      <c r="H647" s="144">
        <v>850000</v>
      </c>
      <c r="I647" s="144">
        <v>283078</v>
      </c>
      <c r="J647" s="76" t="str">
        <f>IF(Table13[[#This Row],[Nilai Selisih]]&gt;100000,"Recommend","Revise")</f>
        <v>Recommend</v>
      </c>
      <c r="K647" s="17" t="s">
        <v>3</v>
      </c>
      <c r="L647" s="151" t="s">
        <v>3</v>
      </c>
      <c r="M647" s="151" t="s">
        <v>3</v>
      </c>
    </row>
    <row r="648" spans="1:13" ht="14" customHeight="1" x14ac:dyDescent="0.3">
      <c r="A648" s="9">
        <v>2</v>
      </c>
      <c r="B648" s="9" t="s">
        <v>0</v>
      </c>
      <c r="C648" s="140" t="s">
        <v>4</v>
      </c>
      <c r="D648" s="141" t="s">
        <v>743</v>
      </c>
      <c r="E648" s="141" t="s">
        <v>1551</v>
      </c>
      <c r="F648" s="142" t="s">
        <v>1552</v>
      </c>
      <c r="G648" s="144">
        <v>1350000</v>
      </c>
      <c r="H648" s="144">
        <v>850000</v>
      </c>
      <c r="I648" s="144">
        <v>500000</v>
      </c>
      <c r="J648" s="76" t="str">
        <f>IF(Table13[[#This Row],[Nilai Selisih]]&gt;100000,"Recommend","Revise")</f>
        <v>Recommend</v>
      </c>
      <c r="K648" s="17" t="s">
        <v>3</v>
      </c>
      <c r="L648" s="151" t="s">
        <v>3</v>
      </c>
      <c r="M648" s="151" t="s">
        <v>3</v>
      </c>
    </row>
    <row r="649" spans="1:13" ht="14" customHeight="1" x14ac:dyDescent="0.3">
      <c r="A649" s="9">
        <v>2</v>
      </c>
      <c r="B649" s="9" t="s">
        <v>0</v>
      </c>
      <c r="C649" s="140" t="s">
        <v>4</v>
      </c>
      <c r="D649" s="141" t="s">
        <v>1810</v>
      </c>
      <c r="E649" s="141" t="s">
        <v>1553</v>
      </c>
      <c r="F649" s="142" t="s">
        <v>1554</v>
      </c>
      <c r="G649" s="144">
        <v>950000</v>
      </c>
      <c r="H649" s="144">
        <v>360000</v>
      </c>
      <c r="I649" s="144">
        <v>590000</v>
      </c>
      <c r="J649" s="76" t="str">
        <f>IF(Table13[[#This Row],[Nilai Selisih]]&gt;100000,"Recommend","Revise")</f>
        <v>Recommend</v>
      </c>
      <c r="K649" s="17" t="s">
        <v>3</v>
      </c>
      <c r="L649" s="151" t="s">
        <v>3</v>
      </c>
      <c r="M649" s="151" t="s">
        <v>3</v>
      </c>
    </row>
    <row r="650" spans="1:13" ht="14" customHeight="1" x14ac:dyDescent="0.3">
      <c r="A650" s="9">
        <v>2</v>
      </c>
      <c r="B650" s="9" t="s">
        <v>0</v>
      </c>
      <c r="C650" s="140" t="s">
        <v>4</v>
      </c>
      <c r="D650" s="141" t="s">
        <v>1810</v>
      </c>
      <c r="E650" s="141" t="s">
        <v>1555</v>
      </c>
      <c r="F650" s="142" t="s">
        <v>1556</v>
      </c>
      <c r="G650" s="144">
        <v>1200000</v>
      </c>
      <c r="H650" s="144">
        <v>344041</v>
      </c>
      <c r="I650" s="144">
        <v>855959</v>
      </c>
      <c r="J650" s="76" t="str">
        <f>IF(Table13[[#This Row],[Nilai Selisih]]&gt;100000,"Recommend","Revise")</f>
        <v>Recommend</v>
      </c>
      <c r="K650" s="17" t="s">
        <v>3</v>
      </c>
      <c r="L650" s="151" t="s">
        <v>3</v>
      </c>
      <c r="M650" s="151" t="s">
        <v>3</v>
      </c>
    </row>
    <row r="651" spans="1:13" ht="14" customHeight="1" x14ac:dyDescent="0.3">
      <c r="A651" s="9">
        <v>2</v>
      </c>
      <c r="B651" s="9" t="s">
        <v>0</v>
      </c>
      <c r="C651" s="140" t="s">
        <v>4</v>
      </c>
      <c r="D651" s="141" t="s">
        <v>743</v>
      </c>
      <c r="E651" s="141" t="s">
        <v>1557</v>
      </c>
      <c r="F651" s="142" t="s">
        <v>1558</v>
      </c>
      <c r="G651" s="144">
        <v>664945</v>
      </c>
      <c r="H651" s="144">
        <v>525000</v>
      </c>
      <c r="I651" s="144">
        <v>139945</v>
      </c>
      <c r="J651" s="76" t="str">
        <f>IF(Table13[[#This Row],[Nilai Selisih]]&gt;100000,"Recommend","Revise")</f>
        <v>Recommend</v>
      </c>
      <c r="K651" s="17" t="s">
        <v>3</v>
      </c>
      <c r="L651" s="151" t="s">
        <v>3</v>
      </c>
      <c r="M651" s="151" t="s">
        <v>3</v>
      </c>
    </row>
    <row r="652" spans="1:13" ht="14" customHeight="1" x14ac:dyDescent="0.3">
      <c r="A652" s="9">
        <v>2</v>
      </c>
      <c r="B652" s="9" t="s">
        <v>0</v>
      </c>
      <c r="C652" s="140" t="s">
        <v>4</v>
      </c>
      <c r="D652" s="141" t="s">
        <v>743</v>
      </c>
      <c r="E652" s="141" t="s">
        <v>1559</v>
      </c>
      <c r="F652" s="142" t="s">
        <v>1560</v>
      </c>
      <c r="G652" s="144">
        <v>589000</v>
      </c>
      <c r="H652" s="144">
        <v>600000</v>
      </c>
      <c r="I652" s="144">
        <v>-11000</v>
      </c>
      <c r="J652" s="76" t="str">
        <f>IF(Table13[[#This Row],[Nilai Selisih]]&gt;100000,"Recommend","Revise")</f>
        <v>Revise</v>
      </c>
      <c r="K652" s="17" t="s">
        <v>3</v>
      </c>
      <c r="L652" s="151" t="s">
        <v>3</v>
      </c>
      <c r="M652" s="151" t="s">
        <v>3</v>
      </c>
    </row>
    <row r="653" spans="1:13" ht="14" customHeight="1" x14ac:dyDescent="0.3">
      <c r="A653" s="9">
        <v>2</v>
      </c>
      <c r="B653" s="9" t="s">
        <v>0</v>
      </c>
      <c r="C653" s="140" t="s">
        <v>4</v>
      </c>
      <c r="D653" s="141" t="s">
        <v>743</v>
      </c>
      <c r="E653" s="141" t="s">
        <v>1561</v>
      </c>
      <c r="F653" s="142" t="s">
        <v>1562</v>
      </c>
      <c r="G653" s="144">
        <v>677375</v>
      </c>
      <c r="H653" s="144">
        <v>580000</v>
      </c>
      <c r="I653" s="144">
        <v>97375</v>
      </c>
      <c r="J653" s="76" t="str">
        <f>IF(Table13[[#This Row],[Nilai Selisih]]&gt;100000,"Recommend","Revise")</f>
        <v>Revise</v>
      </c>
      <c r="K653" s="17" t="s">
        <v>3</v>
      </c>
      <c r="L653" s="151" t="s">
        <v>3</v>
      </c>
      <c r="M653" s="151" t="s">
        <v>3</v>
      </c>
    </row>
    <row r="654" spans="1:13" ht="14" customHeight="1" x14ac:dyDescent="0.3">
      <c r="A654" s="9">
        <v>2</v>
      </c>
      <c r="B654" s="9" t="s">
        <v>0</v>
      </c>
      <c r="C654" s="140" t="s">
        <v>4</v>
      </c>
      <c r="D654" s="141" t="s">
        <v>1815</v>
      </c>
      <c r="E654" s="141" t="s">
        <v>1563</v>
      </c>
      <c r="F654" s="142" t="s">
        <v>1564</v>
      </c>
      <c r="G654" s="144">
        <v>1697509</v>
      </c>
      <c r="H654" s="144">
        <v>585000</v>
      </c>
      <c r="I654" s="144">
        <v>1112509</v>
      </c>
      <c r="J654" s="76" t="str">
        <f>IF(Table13[[#This Row],[Nilai Selisih]]&gt;100000,"Recommend","Revise")</f>
        <v>Recommend</v>
      </c>
      <c r="K654" s="17" t="s">
        <v>3</v>
      </c>
      <c r="L654" s="151" t="s">
        <v>3</v>
      </c>
      <c r="M654" s="151" t="s">
        <v>3</v>
      </c>
    </row>
    <row r="655" spans="1:13" ht="14" customHeight="1" x14ac:dyDescent="0.3">
      <c r="A655" s="9">
        <v>2</v>
      </c>
      <c r="B655" s="9" t="s">
        <v>0</v>
      </c>
      <c r="C655" s="140" t="s">
        <v>4</v>
      </c>
      <c r="D655" s="141" t="s">
        <v>1565</v>
      </c>
      <c r="E655" s="141" t="s">
        <v>1566</v>
      </c>
      <c r="F655" s="142" t="s">
        <v>1567</v>
      </c>
      <c r="G655" s="144">
        <v>740506</v>
      </c>
      <c r="H655" s="144">
        <v>490000</v>
      </c>
      <c r="I655" s="144">
        <v>250506</v>
      </c>
      <c r="J655" s="76" t="str">
        <f>IF(Table13[[#This Row],[Nilai Selisih]]&gt;100000,"Recommend","Revise")</f>
        <v>Recommend</v>
      </c>
      <c r="K655" s="17" t="s">
        <v>3</v>
      </c>
      <c r="L655" s="151" t="s">
        <v>3</v>
      </c>
      <c r="M655" s="151" t="s">
        <v>3</v>
      </c>
    </row>
    <row r="656" spans="1:13" ht="14" customHeight="1" x14ac:dyDescent="0.3">
      <c r="A656" s="9">
        <v>2</v>
      </c>
      <c r="B656" s="9" t="s">
        <v>0</v>
      </c>
      <c r="C656" s="140" t="s">
        <v>4</v>
      </c>
      <c r="D656" s="141" t="s">
        <v>235</v>
      </c>
      <c r="E656" s="141" t="s">
        <v>1568</v>
      </c>
      <c r="F656" s="142" t="s">
        <v>1569</v>
      </c>
      <c r="G656" s="144">
        <v>1900000</v>
      </c>
      <c r="H656" s="144">
        <v>810000</v>
      </c>
      <c r="I656" s="144">
        <v>1090000</v>
      </c>
      <c r="J656" s="76" t="str">
        <f>IF(Table13[[#This Row],[Nilai Selisih]]&gt;100000,"Recommend","Revise")</f>
        <v>Recommend</v>
      </c>
      <c r="K656" s="17" t="s">
        <v>3</v>
      </c>
      <c r="L656" s="151" t="s">
        <v>3</v>
      </c>
      <c r="M656" s="151" t="s">
        <v>3</v>
      </c>
    </row>
    <row r="657" spans="1:13" ht="14" customHeight="1" x14ac:dyDescent="0.3">
      <c r="A657" s="9">
        <v>2</v>
      </c>
      <c r="B657" s="9" t="s">
        <v>0</v>
      </c>
      <c r="C657" s="140" t="s">
        <v>4</v>
      </c>
      <c r="D657" s="141" t="s">
        <v>1565</v>
      </c>
      <c r="E657" s="141" t="s">
        <v>1570</v>
      </c>
      <c r="F657" s="142" t="s">
        <v>1571</v>
      </c>
      <c r="G657" s="144">
        <v>954585</v>
      </c>
      <c r="H657" s="144">
        <v>665000</v>
      </c>
      <c r="I657" s="144">
        <v>289585</v>
      </c>
      <c r="J657" s="76" t="str">
        <f>IF(Table13[[#This Row],[Nilai Selisih]]&gt;100000,"Recommend","Revise")</f>
        <v>Recommend</v>
      </c>
      <c r="K657" s="17" t="s">
        <v>3</v>
      </c>
      <c r="L657" s="151" t="s">
        <v>3</v>
      </c>
      <c r="M657" s="151" t="s">
        <v>3</v>
      </c>
    </row>
    <row r="658" spans="1:13" ht="14" customHeight="1" x14ac:dyDescent="0.3">
      <c r="A658" s="9">
        <v>2</v>
      </c>
      <c r="B658" s="9" t="s">
        <v>0</v>
      </c>
      <c r="C658" s="140" t="s">
        <v>4</v>
      </c>
      <c r="D658" s="141" t="s">
        <v>1813</v>
      </c>
      <c r="E658" s="141" t="s">
        <v>1572</v>
      </c>
      <c r="F658" s="142" t="s">
        <v>1573</v>
      </c>
      <c r="G658" s="144">
        <v>967536</v>
      </c>
      <c r="H658" s="144">
        <v>715000</v>
      </c>
      <c r="I658" s="144">
        <v>252536</v>
      </c>
      <c r="J658" s="76" t="str">
        <f>IF(Table13[[#This Row],[Nilai Selisih]]&gt;100000,"Recommend","Revise")</f>
        <v>Recommend</v>
      </c>
      <c r="K658" s="17" t="s">
        <v>3</v>
      </c>
      <c r="L658" s="151" t="s">
        <v>3</v>
      </c>
      <c r="M658" s="151" t="s">
        <v>3</v>
      </c>
    </row>
    <row r="659" spans="1:13" ht="14" customHeight="1" x14ac:dyDescent="0.3">
      <c r="A659" s="9">
        <v>2</v>
      </c>
      <c r="B659" s="9" t="s">
        <v>0</v>
      </c>
      <c r="C659" s="140" t="s">
        <v>4</v>
      </c>
      <c r="D659" s="141" t="s">
        <v>1813</v>
      </c>
      <c r="E659" s="141" t="s">
        <v>1574</v>
      </c>
      <c r="F659" s="142" t="s">
        <v>1575</v>
      </c>
      <c r="G659" s="144">
        <v>760652</v>
      </c>
      <c r="H659" s="144">
        <v>565000</v>
      </c>
      <c r="I659" s="144">
        <v>195652</v>
      </c>
      <c r="J659" s="76" t="str">
        <f>IF(Table13[[#This Row],[Nilai Selisih]]&gt;100000,"Recommend","Revise")</f>
        <v>Recommend</v>
      </c>
      <c r="K659" s="17" t="s">
        <v>3</v>
      </c>
      <c r="L659" s="151" t="s">
        <v>3</v>
      </c>
      <c r="M659" s="151" t="s">
        <v>3</v>
      </c>
    </row>
    <row r="660" spans="1:13" ht="14" customHeight="1" x14ac:dyDescent="0.3">
      <c r="A660" s="9">
        <v>2</v>
      </c>
      <c r="B660" s="9" t="s">
        <v>0</v>
      </c>
      <c r="C660" s="140" t="s">
        <v>4</v>
      </c>
      <c r="D660" s="141" t="s">
        <v>1813</v>
      </c>
      <c r="E660" s="141" t="s">
        <v>1576</v>
      </c>
      <c r="F660" s="142" t="s">
        <v>1577</v>
      </c>
      <c r="G660" s="144">
        <v>750759</v>
      </c>
      <c r="H660" s="144">
        <v>630000</v>
      </c>
      <c r="I660" s="144">
        <v>120759</v>
      </c>
      <c r="J660" s="76" t="str">
        <f>IF(Table13[[#This Row],[Nilai Selisih]]&gt;100000,"Recommend","Revise")</f>
        <v>Recommend</v>
      </c>
      <c r="K660" s="17" t="s">
        <v>3</v>
      </c>
      <c r="L660" s="151" t="s">
        <v>3</v>
      </c>
      <c r="M660" s="151" t="s">
        <v>3</v>
      </c>
    </row>
    <row r="661" spans="1:13" ht="14" customHeight="1" x14ac:dyDescent="0.3">
      <c r="A661" s="9">
        <v>2</v>
      </c>
      <c r="B661" s="9" t="s">
        <v>0</v>
      </c>
      <c r="C661" s="140" t="s">
        <v>4</v>
      </c>
      <c r="D661" s="141" t="s">
        <v>881</v>
      </c>
      <c r="E661" s="141" t="s">
        <v>1578</v>
      </c>
      <c r="F661" s="142" t="s">
        <v>1579</v>
      </c>
      <c r="G661" s="144">
        <v>1152216</v>
      </c>
      <c r="H661" s="144">
        <v>805000</v>
      </c>
      <c r="I661" s="144">
        <v>347216</v>
      </c>
      <c r="J661" s="76" t="str">
        <f>IF(Table13[[#This Row],[Nilai Selisih]]&gt;100000,"Recommend","Revise")</f>
        <v>Recommend</v>
      </c>
      <c r="K661" s="17" t="s">
        <v>3</v>
      </c>
      <c r="L661" s="151" t="s">
        <v>3</v>
      </c>
      <c r="M661" s="151" t="s">
        <v>3</v>
      </c>
    </row>
    <row r="662" spans="1:13" ht="14" customHeight="1" x14ac:dyDescent="0.3">
      <c r="A662" s="9">
        <v>2</v>
      </c>
      <c r="B662" s="9" t="s">
        <v>0</v>
      </c>
      <c r="C662" s="140" t="s">
        <v>4</v>
      </c>
      <c r="D662" s="141" t="s">
        <v>231</v>
      </c>
      <c r="E662" s="141" t="s">
        <v>1580</v>
      </c>
      <c r="F662" s="142" t="s">
        <v>1581</v>
      </c>
      <c r="G662" s="144">
        <v>677556</v>
      </c>
      <c r="H662" s="144">
        <v>829000</v>
      </c>
      <c r="I662" s="16">
        <f>Table13[[#This Row],[Publish Rate]]-Table13[[#This Row],[Offering Corporate Rate 2026]]</f>
        <v>-151444</v>
      </c>
      <c r="J662" s="76" t="str">
        <f>IF(Table13[[#This Row],[Nilai Selisih]]&gt;100000,"Recommend","Revise")</f>
        <v>Revise</v>
      </c>
      <c r="K662" s="17" t="s">
        <v>3</v>
      </c>
      <c r="L662" s="10" t="s">
        <v>1842</v>
      </c>
      <c r="M662" s="151" t="s">
        <v>3</v>
      </c>
    </row>
    <row r="663" spans="1:13" ht="14" customHeight="1" x14ac:dyDescent="0.3">
      <c r="A663" s="9">
        <v>2</v>
      </c>
      <c r="B663" s="9" t="s">
        <v>0</v>
      </c>
      <c r="C663" s="140" t="s">
        <v>4</v>
      </c>
      <c r="D663" s="141" t="s">
        <v>1819</v>
      </c>
      <c r="E663" s="141" t="s">
        <v>1582</v>
      </c>
      <c r="F663" s="142" t="s">
        <v>1583</v>
      </c>
      <c r="G663" s="144">
        <v>909365</v>
      </c>
      <c r="H663" s="144">
        <v>950000</v>
      </c>
      <c r="I663" s="144">
        <v>-40635</v>
      </c>
      <c r="J663" s="76" t="str">
        <f>IF(Table13[[#This Row],[Nilai Selisih]]&gt;100000,"Recommend","Revise")</f>
        <v>Revise</v>
      </c>
      <c r="K663" s="17" t="s">
        <v>3</v>
      </c>
      <c r="L663" s="151" t="s">
        <v>3</v>
      </c>
      <c r="M663" s="151" t="s">
        <v>3</v>
      </c>
    </row>
    <row r="664" spans="1:13" ht="14" customHeight="1" x14ac:dyDescent="0.3">
      <c r="A664" s="9">
        <v>2</v>
      </c>
      <c r="B664" s="9" t="s">
        <v>0</v>
      </c>
      <c r="C664" s="140" t="s">
        <v>4</v>
      </c>
      <c r="D664" s="141" t="s">
        <v>1819</v>
      </c>
      <c r="E664" s="141" t="s">
        <v>1584</v>
      </c>
      <c r="F664" s="142" t="s">
        <v>1585</v>
      </c>
      <c r="G664" s="144">
        <v>1476874</v>
      </c>
      <c r="H664" s="144">
        <v>935000</v>
      </c>
      <c r="I664" s="144">
        <v>541874</v>
      </c>
      <c r="J664" s="76" t="str">
        <f>IF(Table13[[#This Row],[Nilai Selisih]]&gt;100000,"Recommend","Revise")</f>
        <v>Recommend</v>
      </c>
      <c r="K664" s="17" t="s">
        <v>3</v>
      </c>
      <c r="L664" s="151" t="s">
        <v>3</v>
      </c>
      <c r="M664" s="151" t="s">
        <v>3</v>
      </c>
    </row>
    <row r="665" spans="1:13" ht="14" customHeight="1" x14ac:dyDescent="0.3">
      <c r="A665" s="9">
        <v>2</v>
      </c>
      <c r="B665" s="9" t="s">
        <v>0</v>
      </c>
      <c r="C665" s="140" t="s">
        <v>4</v>
      </c>
      <c r="D665" s="141" t="s">
        <v>1819</v>
      </c>
      <c r="E665" s="141" t="s">
        <v>1586</v>
      </c>
      <c r="F665" s="142" t="s">
        <v>1587</v>
      </c>
      <c r="G665" s="144">
        <v>729555</v>
      </c>
      <c r="H665" s="144">
        <v>675000</v>
      </c>
      <c r="I665" s="144">
        <v>54555</v>
      </c>
      <c r="J665" s="76" t="str">
        <f>IF(Table13[[#This Row],[Nilai Selisih]]&gt;100000,"Recommend","Revise")</f>
        <v>Revise</v>
      </c>
      <c r="K665" s="17" t="s">
        <v>3</v>
      </c>
      <c r="L665" s="151" t="s">
        <v>3</v>
      </c>
      <c r="M665" s="151" t="s">
        <v>3</v>
      </c>
    </row>
    <row r="666" spans="1:13" ht="14" customHeight="1" x14ac:dyDescent="0.3">
      <c r="A666" s="9">
        <v>2</v>
      </c>
      <c r="B666" s="9" t="s">
        <v>0</v>
      </c>
      <c r="C666" s="140" t="s">
        <v>4</v>
      </c>
      <c r="D666" s="141" t="s">
        <v>1269</v>
      </c>
      <c r="E666" s="141" t="s">
        <v>1588</v>
      </c>
      <c r="F666" s="142" t="s">
        <v>1589</v>
      </c>
      <c r="G666" s="144">
        <v>989125</v>
      </c>
      <c r="H666" s="144">
        <v>700000</v>
      </c>
      <c r="I666" s="144">
        <v>289125</v>
      </c>
      <c r="J666" s="76" t="str">
        <f>IF(Table13[[#This Row],[Nilai Selisih]]&gt;100000,"Recommend","Revise")</f>
        <v>Recommend</v>
      </c>
      <c r="K666" s="17" t="s">
        <v>3</v>
      </c>
      <c r="L666" s="151" t="s">
        <v>3</v>
      </c>
      <c r="M666" s="151" t="s">
        <v>3</v>
      </c>
    </row>
    <row r="667" spans="1:13" ht="14" customHeight="1" x14ac:dyDescent="0.3">
      <c r="A667" s="9">
        <v>2</v>
      </c>
      <c r="B667" s="9" t="s">
        <v>0</v>
      </c>
      <c r="C667" s="140" t="s">
        <v>4</v>
      </c>
      <c r="D667" s="141" t="s">
        <v>1268</v>
      </c>
      <c r="E667" s="141" t="s">
        <v>1590</v>
      </c>
      <c r="F667" s="142" t="s">
        <v>1591</v>
      </c>
      <c r="G667" s="144">
        <v>614934</v>
      </c>
      <c r="H667" s="144">
        <v>575000</v>
      </c>
      <c r="I667" s="144">
        <v>39934</v>
      </c>
      <c r="J667" s="76" t="str">
        <f>IF(Table13[[#This Row],[Nilai Selisih]]&gt;100000,"Recommend","Revise")</f>
        <v>Revise</v>
      </c>
      <c r="K667" s="17" t="s">
        <v>3</v>
      </c>
      <c r="L667" s="151" t="s">
        <v>3</v>
      </c>
      <c r="M667" s="151" t="s">
        <v>3</v>
      </c>
    </row>
    <row r="668" spans="1:13" ht="14" customHeight="1" x14ac:dyDescent="0.3">
      <c r="A668" s="9">
        <v>2</v>
      </c>
      <c r="B668" s="9" t="s">
        <v>0</v>
      </c>
      <c r="C668" s="140" t="s">
        <v>4</v>
      </c>
      <c r="D668" s="141" t="s">
        <v>724</v>
      </c>
      <c r="E668" s="141" t="s">
        <v>1592</v>
      </c>
      <c r="F668" s="142" t="s">
        <v>1593</v>
      </c>
      <c r="G668" s="144">
        <v>640471</v>
      </c>
      <c r="H668" s="144">
        <v>650000</v>
      </c>
      <c r="I668" s="144">
        <v>-9529</v>
      </c>
      <c r="J668" s="76" t="str">
        <f>IF(Table13[[#This Row],[Nilai Selisih]]&gt;100000,"Recommend","Revise")</f>
        <v>Revise</v>
      </c>
      <c r="K668" s="17" t="s">
        <v>3</v>
      </c>
      <c r="L668" s="151" t="s">
        <v>3</v>
      </c>
      <c r="M668" s="151" t="s">
        <v>3</v>
      </c>
    </row>
    <row r="669" spans="1:13" ht="14" customHeight="1" x14ac:dyDescent="0.3">
      <c r="A669" s="9">
        <v>2</v>
      </c>
      <c r="B669" s="9" t="s">
        <v>0</v>
      </c>
      <c r="C669" s="140" t="s">
        <v>4</v>
      </c>
      <c r="D669" s="141" t="s">
        <v>1008</v>
      </c>
      <c r="E669" s="141" t="s">
        <v>1594</v>
      </c>
      <c r="F669" s="142" t="s">
        <v>1595</v>
      </c>
      <c r="G669" s="144">
        <v>824266</v>
      </c>
      <c r="H669" s="144">
        <v>600000</v>
      </c>
      <c r="I669" s="144">
        <v>224266</v>
      </c>
      <c r="J669" s="76" t="str">
        <f>IF(Table13[[#This Row],[Nilai Selisih]]&gt;100000,"Recommend","Revise")</f>
        <v>Recommend</v>
      </c>
      <c r="K669" s="17" t="s">
        <v>3</v>
      </c>
      <c r="L669" s="151" t="s">
        <v>3</v>
      </c>
      <c r="M669" s="151" t="s">
        <v>3</v>
      </c>
    </row>
    <row r="670" spans="1:13" ht="14" customHeight="1" x14ac:dyDescent="0.3">
      <c r="A670" s="9">
        <v>2</v>
      </c>
      <c r="B670" s="9" t="s">
        <v>0</v>
      </c>
      <c r="C670" s="140" t="s">
        <v>1596</v>
      </c>
      <c r="D670" s="141" t="s">
        <v>1268</v>
      </c>
      <c r="E670" s="141" t="s">
        <v>1597</v>
      </c>
      <c r="F670" s="154" t="s">
        <v>1598</v>
      </c>
      <c r="G670" s="144">
        <v>1815000</v>
      </c>
      <c r="H670" s="144">
        <v>1350000</v>
      </c>
      <c r="I670" s="144">
        <f>Table13[[#This Row],[Publish Rate]]-Table13[[#This Row],[Offering Corporate Rate 2026]]</f>
        <v>465000</v>
      </c>
      <c r="J670" s="76" t="str">
        <f>IF(Table13[[#This Row],[Nilai Selisih]]&gt;100000,"Recommend","Revise")</f>
        <v>Recommend</v>
      </c>
      <c r="K670" s="17" t="s">
        <v>3</v>
      </c>
      <c r="L670" s="151" t="s">
        <v>1599</v>
      </c>
      <c r="M670" s="151" t="s">
        <v>3</v>
      </c>
    </row>
    <row r="671" spans="1:13" ht="14" customHeight="1" x14ac:dyDescent="0.3">
      <c r="A671" s="9">
        <v>2</v>
      </c>
      <c r="B671" s="9" t="s">
        <v>1823</v>
      </c>
      <c r="C671" s="133" t="s">
        <v>7</v>
      </c>
      <c r="D671" s="134" t="s">
        <v>1808</v>
      </c>
      <c r="E671" s="134" t="s">
        <v>1600</v>
      </c>
      <c r="F671" s="155" t="s">
        <v>1601</v>
      </c>
      <c r="G671" s="156">
        <v>1240000</v>
      </c>
      <c r="H671" s="156">
        <v>1060000</v>
      </c>
      <c r="I671" s="144">
        <f>Table13[[#This Row],[Publish Rate]]-Table13[[#This Row],[Offering Corporate Rate 2026]]</f>
        <v>180000</v>
      </c>
      <c r="J671" s="76" t="str">
        <f>IF(Table13[[#This Row],[Nilai Selisih]]&gt;100000,"Recommend","Revise")</f>
        <v>Recommend</v>
      </c>
      <c r="K671" s="17" t="s">
        <v>3</v>
      </c>
      <c r="L671" s="130" t="s">
        <v>1602</v>
      </c>
      <c r="M671" s="130" t="s">
        <v>3</v>
      </c>
    </row>
    <row r="672" spans="1:13" ht="14" customHeight="1" x14ac:dyDescent="0.3">
      <c r="A672" s="9">
        <v>2</v>
      </c>
      <c r="B672" s="9" t="s">
        <v>1823</v>
      </c>
      <c r="C672" s="133" t="s">
        <v>7</v>
      </c>
      <c r="D672" s="134" t="s">
        <v>1808</v>
      </c>
      <c r="E672" s="141" t="s">
        <v>1603</v>
      </c>
      <c r="F672" s="154" t="s">
        <v>1604</v>
      </c>
      <c r="G672" s="156">
        <v>4416500</v>
      </c>
      <c r="H672" s="137">
        <v>2500000</v>
      </c>
      <c r="I672" s="137">
        <f>Table13[[#This Row],[Publish Rate]]-Table13[[#This Row],[Offering Corporate Rate 2026]]</f>
        <v>1916500</v>
      </c>
      <c r="J672" s="76" t="str">
        <f>IF(Table13[[#This Row],[Nilai Selisih]]&gt;100000,"Recommend","Revise")</f>
        <v>Recommend</v>
      </c>
      <c r="K672" s="17" t="s">
        <v>3</v>
      </c>
      <c r="L672" s="130" t="s">
        <v>1605</v>
      </c>
      <c r="M672" s="130" t="s">
        <v>3</v>
      </c>
    </row>
    <row r="673" spans="1:13" ht="14" customHeight="1" x14ac:dyDescent="0.3">
      <c r="A673" s="9">
        <v>2</v>
      </c>
      <c r="B673" s="9" t="s">
        <v>0</v>
      </c>
      <c r="C673" s="133" t="s">
        <v>1606</v>
      </c>
      <c r="D673" s="134" t="s">
        <v>1804</v>
      </c>
      <c r="E673" s="141" t="s">
        <v>1607</v>
      </c>
      <c r="F673" s="154" t="s">
        <v>1608</v>
      </c>
      <c r="G673" s="156">
        <v>881000</v>
      </c>
      <c r="H673" s="137">
        <v>780000</v>
      </c>
      <c r="I673" s="137">
        <f>Table13[[#This Row],[Publish Rate]]-Table13[[#This Row],[Offering Corporate Rate 2026]]</f>
        <v>101000</v>
      </c>
      <c r="J673" s="76" t="str">
        <f>IF(Table13[[#This Row],[Nilai Selisih]]&gt;100000,"Recommend","Revise")</f>
        <v>Recommend</v>
      </c>
      <c r="K673" s="17" t="s">
        <v>3</v>
      </c>
      <c r="L673" s="130" t="s">
        <v>1609</v>
      </c>
      <c r="M673" s="130" t="s">
        <v>3</v>
      </c>
    </row>
    <row r="674" spans="1:13" ht="14" customHeight="1" x14ac:dyDescent="0.3">
      <c r="A674" s="9">
        <v>2</v>
      </c>
      <c r="B674" s="9" t="s">
        <v>0</v>
      </c>
      <c r="C674" s="140" t="s">
        <v>1610</v>
      </c>
      <c r="D674" s="141" t="s">
        <v>1269</v>
      </c>
      <c r="E674" s="141" t="s">
        <v>1611</v>
      </c>
      <c r="F674" s="154" t="s">
        <v>1612</v>
      </c>
      <c r="G674" s="144">
        <v>1718431</v>
      </c>
      <c r="H674" s="144">
        <v>640000</v>
      </c>
      <c r="I674" s="144">
        <v>1078431</v>
      </c>
      <c r="J674" s="76" t="str">
        <f>IF(Table13[[#This Row],[Nilai Selisih]]&gt;100000,"Recommend","Revise")</f>
        <v>Recommend</v>
      </c>
      <c r="K674" s="17" t="s">
        <v>3</v>
      </c>
      <c r="L674" s="151" t="s">
        <v>1613</v>
      </c>
      <c r="M674" s="130" t="s">
        <v>3</v>
      </c>
    </row>
    <row r="675" spans="1:13" ht="14" customHeight="1" x14ac:dyDescent="0.3">
      <c r="A675" s="9">
        <v>2</v>
      </c>
      <c r="B675" s="9" t="s">
        <v>0</v>
      </c>
      <c r="C675" s="140" t="s">
        <v>1610</v>
      </c>
      <c r="D675" s="141" t="s">
        <v>1816</v>
      </c>
      <c r="E675" s="141" t="s">
        <v>1614</v>
      </c>
      <c r="F675" s="142" t="s">
        <v>1615</v>
      </c>
      <c r="G675" s="144">
        <v>9999900</v>
      </c>
      <c r="H675" s="144">
        <v>605000</v>
      </c>
      <c r="I675" s="144">
        <f>Table13[[#This Row],[Publish Rate]]-Table13[[#This Row],[Offering Corporate Rate 2026]]</f>
        <v>9394900</v>
      </c>
      <c r="J675" s="76" t="str">
        <f>IF(Table13[[#This Row],[Nilai Selisih]]&gt;100000,"Recommend","Revise")</f>
        <v>Recommend</v>
      </c>
      <c r="K675" s="17" t="s">
        <v>3</v>
      </c>
      <c r="L675" s="151" t="s">
        <v>1616</v>
      </c>
      <c r="M675" s="130" t="s">
        <v>3</v>
      </c>
    </row>
    <row r="676" spans="1:13" ht="14" customHeight="1" x14ac:dyDescent="0.3">
      <c r="A676" s="9">
        <v>2</v>
      </c>
      <c r="B676" s="9" t="s">
        <v>0</v>
      </c>
      <c r="C676" s="140" t="s">
        <v>1610</v>
      </c>
      <c r="D676" s="141" t="s">
        <v>1808</v>
      </c>
      <c r="E676" s="141" t="s">
        <v>1617</v>
      </c>
      <c r="F676" s="142" t="s">
        <v>1618</v>
      </c>
      <c r="G676" s="144">
        <v>945000</v>
      </c>
      <c r="H676" s="144">
        <v>660000</v>
      </c>
      <c r="I676" s="144">
        <f>Table13[[#This Row],[Publish Rate]]-Table13[[#This Row],[Offering Corporate Rate 2026]]</f>
        <v>285000</v>
      </c>
      <c r="J676" s="76" t="str">
        <f>IF(Table13[[#This Row],[Nilai Selisih]]&gt;100000,"Recommend","Revise")</f>
        <v>Recommend</v>
      </c>
      <c r="K676" s="17" t="s">
        <v>3</v>
      </c>
      <c r="L676" s="151" t="s">
        <v>1619</v>
      </c>
      <c r="M676" s="130" t="s">
        <v>3</v>
      </c>
    </row>
    <row r="677" spans="1:13" ht="14" customHeight="1" x14ac:dyDescent="0.3">
      <c r="A677" s="9">
        <v>2</v>
      </c>
      <c r="B677" s="9" t="s">
        <v>0</v>
      </c>
      <c r="C677" s="140" t="s">
        <v>1610</v>
      </c>
      <c r="D677" s="141" t="s">
        <v>1804</v>
      </c>
      <c r="E677" s="141" t="s">
        <v>1620</v>
      </c>
      <c r="F677" s="142" t="s">
        <v>1621</v>
      </c>
      <c r="G677" s="144">
        <v>1260000</v>
      </c>
      <c r="H677" s="144">
        <v>800000</v>
      </c>
      <c r="I677" s="144">
        <f>Table13[[#This Row],[Publish Rate]]-Table13[[#This Row],[Offering Corporate Rate 2026]]</f>
        <v>460000</v>
      </c>
      <c r="J677" s="76" t="str">
        <f>IF(Table13[[#This Row],[Nilai Selisih]]&gt;100000,"Recommend","Revise")</f>
        <v>Recommend</v>
      </c>
      <c r="K677" s="17" t="s">
        <v>3</v>
      </c>
      <c r="L677" s="151" t="s">
        <v>1616</v>
      </c>
      <c r="M677" s="130" t="s">
        <v>3</v>
      </c>
    </row>
    <row r="678" spans="1:13" ht="14" customHeight="1" x14ac:dyDescent="0.3">
      <c r="A678" s="9">
        <v>2</v>
      </c>
      <c r="B678" s="9" t="s">
        <v>0</v>
      </c>
      <c r="C678" s="140" t="s">
        <v>1610</v>
      </c>
      <c r="D678" s="141" t="s">
        <v>724</v>
      </c>
      <c r="E678" s="141" t="s">
        <v>1622</v>
      </c>
      <c r="F678" s="142" t="s">
        <v>1623</v>
      </c>
      <c r="G678" s="144">
        <v>929761</v>
      </c>
      <c r="H678" s="144">
        <v>850000</v>
      </c>
      <c r="I678" s="144">
        <f>Table13[[#This Row],[Publish Rate]]-Table13[[#This Row],[Offering Corporate Rate 2026]]</f>
        <v>79761</v>
      </c>
      <c r="J678" s="76" t="str">
        <f>IF(Table13[[#This Row],[Nilai Selisih]]&gt;100000,"Recommend","Revise")</f>
        <v>Revise</v>
      </c>
      <c r="K678" s="17" t="s">
        <v>3</v>
      </c>
      <c r="L678" s="151" t="s">
        <v>1616</v>
      </c>
      <c r="M678" s="130" t="s">
        <v>3</v>
      </c>
    </row>
    <row r="679" spans="1:13" ht="14" customHeight="1" x14ac:dyDescent="0.3">
      <c r="A679" s="9">
        <v>2</v>
      </c>
      <c r="B679" s="9" t="s">
        <v>0</v>
      </c>
      <c r="C679" s="140" t="s">
        <v>1610</v>
      </c>
      <c r="D679" s="141" t="s">
        <v>1808</v>
      </c>
      <c r="E679" s="141" t="s">
        <v>1624</v>
      </c>
      <c r="F679" s="142" t="s">
        <v>1625</v>
      </c>
      <c r="G679" s="144">
        <v>625400</v>
      </c>
      <c r="H679" s="144">
        <v>570000</v>
      </c>
      <c r="I679" s="144">
        <f>Table13[[#This Row],[Publish Rate]]-Table13[[#This Row],[Offering Corporate Rate 2026]]</f>
        <v>55400</v>
      </c>
      <c r="J679" s="76" t="str">
        <f>IF(Table13[[#This Row],[Nilai Selisih]]&gt;100000,"Recommend","Revise")</f>
        <v>Revise</v>
      </c>
      <c r="K679" s="17" t="s">
        <v>3</v>
      </c>
      <c r="L679" s="151" t="s">
        <v>1626</v>
      </c>
      <c r="M679" s="130" t="s">
        <v>3</v>
      </c>
    </row>
    <row r="680" spans="1:13" ht="14" customHeight="1" x14ac:dyDescent="0.3">
      <c r="A680" s="9">
        <v>2</v>
      </c>
      <c r="B680" s="9" t="s">
        <v>0</v>
      </c>
      <c r="C680" s="140" t="s">
        <v>1610</v>
      </c>
      <c r="D680" s="141" t="s">
        <v>1808</v>
      </c>
      <c r="E680" s="141" t="s">
        <v>1627</v>
      </c>
      <c r="F680" s="142" t="s">
        <v>1628</v>
      </c>
      <c r="G680" s="144">
        <v>620999</v>
      </c>
      <c r="H680" s="144">
        <v>470000</v>
      </c>
      <c r="I680" s="144">
        <f>Table13[[#This Row],[Publish Rate]]-Table13[[#This Row],[Offering Corporate Rate 2026]]</f>
        <v>150999</v>
      </c>
      <c r="J680" s="76" t="str">
        <f>IF(Table13[[#This Row],[Nilai Selisih]]&gt;100000,"Recommend","Revise")</f>
        <v>Recommend</v>
      </c>
      <c r="K680" s="17" t="s">
        <v>3</v>
      </c>
      <c r="L680" s="151" t="s">
        <v>1629</v>
      </c>
      <c r="M680" s="130" t="s">
        <v>3</v>
      </c>
    </row>
    <row r="681" spans="1:13" ht="14" customHeight="1" x14ac:dyDescent="0.3">
      <c r="A681" s="9">
        <v>2</v>
      </c>
      <c r="B681" s="9" t="s">
        <v>0</v>
      </c>
      <c r="C681" s="140" t="s">
        <v>1610</v>
      </c>
      <c r="D681" s="141" t="s">
        <v>1808</v>
      </c>
      <c r="E681" s="141" t="s">
        <v>1630</v>
      </c>
      <c r="F681" s="142" t="s">
        <v>1631</v>
      </c>
      <c r="G681" s="144">
        <v>846000</v>
      </c>
      <c r="H681" s="144">
        <v>789000</v>
      </c>
      <c r="I681" s="144">
        <f>Table13[[#This Row],[Publish Rate]]-Table13[[#This Row],[Offering Corporate Rate 2026]]</f>
        <v>57000</v>
      </c>
      <c r="J681" s="76" t="str">
        <f>IF(Table13[[#This Row],[Nilai Selisih]]&gt;100000,"Recommend","Revise")</f>
        <v>Revise</v>
      </c>
      <c r="K681" s="17" t="s">
        <v>3</v>
      </c>
      <c r="L681" s="151" t="s">
        <v>1632</v>
      </c>
      <c r="M681" s="130" t="s">
        <v>3</v>
      </c>
    </row>
    <row r="682" spans="1:13" ht="14" customHeight="1" x14ac:dyDescent="0.3">
      <c r="A682" s="9">
        <v>2</v>
      </c>
      <c r="B682" s="9" t="s">
        <v>0</v>
      </c>
      <c r="C682" s="140" t="s">
        <v>1610</v>
      </c>
      <c r="D682" s="141" t="s">
        <v>30</v>
      </c>
      <c r="E682" s="141" t="s">
        <v>1633</v>
      </c>
      <c r="F682" s="142" t="s">
        <v>1634</v>
      </c>
      <c r="G682" s="144">
        <v>1775141</v>
      </c>
      <c r="H682" s="144">
        <v>1450000</v>
      </c>
      <c r="I682" s="144">
        <f>Table13[[#This Row],[Publish Rate]]-Table13[[#This Row],[Offering Corporate Rate 2026]]</f>
        <v>325141</v>
      </c>
      <c r="J682" s="76" t="str">
        <f>IF(Table13[[#This Row],[Nilai Selisih]]&gt;100000,"Recommend","Revise")</f>
        <v>Recommend</v>
      </c>
      <c r="K682" s="17" t="s">
        <v>3</v>
      </c>
      <c r="L682" s="151" t="s">
        <v>1635</v>
      </c>
      <c r="M682" s="130" t="s">
        <v>3</v>
      </c>
    </row>
    <row r="683" spans="1:13" ht="14" customHeight="1" x14ac:dyDescent="0.3">
      <c r="A683" s="9">
        <v>2</v>
      </c>
      <c r="B683" s="9" t="s">
        <v>0</v>
      </c>
      <c r="C683" s="140" t="s">
        <v>1610</v>
      </c>
      <c r="D683" s="141" t="s">
        <v>1268</v>
      </c>
      <c r="E683" s="141" t="s">
        <v>1636</v>
      </c>
      <c r="F683" s="142" t="s">
        <v>1637</v>
      </c>
      <c r="G683" s="144">
        <v>714000</v>
      </c>
      <c r="H683" s="144">
        <v>580000</v>
      </c>
      <c r="I683" s="144">
        <f>Table13[[#This Row],[Publish Rate]]-Table13[[#This Row],[Offering Corporate Rate 2026]]</f>
        <v>134000</v>
      </c>
      <c r="J683" s="76" t="str">
        <f>IF(Table13[[#This Row],[Nilai Selisih]]&gt;100000,"Recommend","Revise")</f>
        <v>Recommend</v>
      </c>
      <c r="K683" s="17" t="s">
        <v>3</v>
      </c>
      <c r="L683" s="151" t="s">
        <v>1638</v>
      </c>
      <c r="M683" s="130" t="s">
        <v>3</v>
      </c>
    </row>
    <row r="684" spans="1:13" ht="14" customHeight="1" x14ac:dyDescent="0.3">
      <c r="A684" s="9">
        <v>2</v>
      </c>
      <c r="B684" s="9" t="s">
        <v>0</v>
      </c>
      <c r="C684" s="140" t="s">
        <v>1610</v>
      </c>
      <c r="D684" s="141" t="s">
        <v>1269</v>
      </c>
      <c r="E684" s="141" t="s">
        <v>1639</v>
      </c>
      <c r="F684" s="142" t="s">
        <v>1640</v>
      </c>
      <c r="G684" s="144">
        <v>477000</v>
      </c>
      <c r="H684" s="144">
        <v>400000</v>
      </c>
      <c r="I684" s="144">
        <f>Table13[[#This Row],[Publish Rate]]-Table13[[#This Row],[Offering Corporate Rate 2026]]</f>
        <v>77000</v>
      </c>
      <c r="J684" s="76" t="str">
        <f>IF(Table13[[#This Row],[Nilai Selisih]]&gt;100000,"Recommend","Revise")</f>
        <v>Revise</v>
      </c>
      <c r="K684" s="17" t="s">
        <v>3</v>
      </c>
      <c r="L684" s="151" t="s">
        <v>1616</v>
      </c>
      <c r="M684" s="130" t="s">
        <v>3</v>
      </c>
    </row>
    <row r="685" spans="1:13" ht="14" customHeight="1" x14ac:dyDescent="0.3">
      <c r="A685" s="9">
        <v>2</v>
      </c>
      <c r="B685" s="9" t="s">
        <v>0</v>
      </c>
      <c r="C685" s="140" t="s">
        <v>1610</v>
      </c>
      <c r="D685" s="141" t="s">
        <v>1268</v>
      </c>
      <c r="E685" s="141" t="s">
        <v>1641</v>
      </c>
      <c r="F685" s="142" t="s">
        <v>1642</v>
      </c>
      <c r="G685" s="144">
        <v>855000</v>
      </c>
      <c r="H685" s="144">
        <v>830000</v>
      </c>
      <c r="I685" s="144">
        <f>Table13[[#This Row],[Publish Rate]]-Table13[[#This Row],[Offering Corporate Rate 2026]]</f>
        <v>25000</v>
      </c>
      <c r="J685" s="76" t="str">
        <f>IF(Table13[[#This Row],[Nilai Selisih]]&gt;100000,"Recommend","Revise")</f>
        <v>Revise</v>
      </c>
      <c r="K685" s="17" t="s">
        <v>3</v>
      </c>
      <c r="L685" s="151" t="s">
        <v>1643</v>
      </c>
      <c r="M685" s="130" t="s">
        <v>3</v>
      </c>
    </row>
    <row r="686" spans="1:13" ht="14" customHeight="1" x14ac:dyDescent="0.3">
      <c r="A686" s="9">
        <v>2</v>
      </c>
      <c r="B686" s="9" t="s">
        <v>0</v>
      </c>
      <c r="C686" s="140" t="s">
        <v>1610</v>
      </c>
      <c r="D686" s="141" t="s">
        <v>1269</v>
      </c>
      <c r="E686" s="141" t="s">
        <v>1644</v>
      </c>
      <c r="F686" s="142" t="s">
        <v>1645</v>
      </c>
      <c r="G686" s="144">
        <v>750000</v>
      </c>
      <c r="H686" s="144">
        <v>730000</v>
      </c>
      <c r="I686" s="144">
        <f>Table13[[#This Row],[Publish Rate]]-Table13[[#This Row],[Offering Corporate Rate 2026]]</f>
        <v>20000</v>
      </c>
      <c r="J686" s="76" t="str">
        <f>IF(Table13[[#This Row],[Nilai Selisih]]&gt;100000,"Recommend","Revise")</f>
        <v>Revise</v>
      </c>
      <c r="K686" s="17" t="s">
        <v>3</v>
      </c>
      <c r="L686" s="151" t="s">
        <v>1646</v>
      </c>
      <c r="M686" s="130" t="s">
        <v>3</v>
      </c>
    </row>
    <row r="687" spans="1:13" ht="14" customHeight="1" x14ac:dyDescent="0.3">
      <c r="A687" s="9">
        <v>2</v>
      </c>
      <c r="B687" s="9" t="s">
        <v>0</v>
      </c>
      <c r="C687" s="140" t="s">
        <v>1610</v>
      </c>
      <c r="D687" s="141" t="s">
        <v>724</v>
      </c>
      <c r="E687" s="141" t="s">
        <v>1647</v>
      </c>
      <c r="F687" s="142" t="s">
        <v>1648</v>
      </c>
      <c r="G687" s="144">
        <v>1573460</v>
      </c>
      <c r="H687" s="144">
        <v>882500</v>
      </c>
      <c r="I687" s="144">
        <f>Table13[[#This Row],[Publish Rate]]-Table13[[#This Row],[Offering Corporate Rate 2026]]</f>
        <v>690960</v>
      </c>
      <c r="J687" s="76" t="str">
        <f>IF(Table13[[#This Row],[Nilai Selisih]]&gt;100000,"Recommend","Revise")</f>
        <v>Recommend</v>
      </c>
      <c r="K687" s="17" t="s">
        <v>3</v>
      </c>
      <c r="L687" s="151" t="s">
        <v>1649</v>
      </c>
      <c r="M687" s="130" t="s">
        <v>3</v>
      </c>
    </row>
    <row r="688" spans="1:13" ht="14" customHeight="1" x14ac:dyDescent="0.3">
      <c r="A688" s="9">
        <v>2</v>
      </c>
      <c r="B688" s="9" t="s">
        <v>0</v>
      </c>
      <c r="C688" s="140" t="s">
        <v>1610</v>
      </c>
      <c r="D688" s="141" t="s">
        <v>1811</v>
      </c>
      <c r="E688" s="141" t="s">
        <v>1650</v>
      </c>
      <c r="F688" s="142" t="s">
        <v>1651</v>
      </c>
      <c r="G688" s="144">
        <v>1007274</v>
      </c>
      <c r="H688" s="144">
        <v>820000</v>
      </c>
      <c r="I688" s="144">
        <f>Table13[[#This Row],[Publish Rate]]-Table13[[#This Row],[Offering Corporate Rate 2026]]</f>
        <v>187274</v>
      </c>
      <c r="J688" s="76" t="str">
        <f>IF(Table13[[#This Row],[Nilai Selisih]]&gt;100000,"Recommend","Revise")</f>
        <v>Recommend</v>
      </c>
      <c r="K688" s="17" t="s">
        <v>3</v>
      </c>
      <c r="L688" s="151" t="s">
        <v>1619</v>
      </c>
      <c r="M688" s="130" t="s">
        <v>3</v>
      </c>
    </row>
    <row r="689" spans="1:13" ht="14" customHeight="1" x14ac:dyDescent="0.3">
      <c r="A689" s="9">
        <v>2</v>
      </c>
      <c r="B689" s="9" t="s">
        <v>0</v>
      </c>
      <c r="C689" s="140" t="s">
        <v>1610</v>
      </c>
      <c r="D689" s="141" t="s">
        <v>1269</v>
      </c>
      <c r="E689" s="141" t="s">
        <v>1652</v>
      </c>
      <c r="F689" s="142" t="s">
        <v>1653</v>
      </c>
      <c r="G689" s="144">
        <v>860294</v>
      </c>
      <c r="H689" s="144">
        <v>600000</v>
      </c>
      <c r="I689" s="144">
        <f>Table13[[#This Row],[Publish Rate]]-Table13[[#This Row],[Offering Corporate Rate 2026]]</f>
        <v>260294</v>
      </c>
      <c r="J689" s="76" t="str">
        <f>IF(Table13[[#This Row],[Nilai Selisih]]&gt;100000,"Recommend","Revise")</f>
        <v>Recommend</v>
      </c>
      <c r="K689" s="17" t="s">
        <v>3</v>
      </c>
      <c r="L689" s="151" t="s">
        <v>1654</v>
      </c>
      <c r="M689" s="130" t="s">
        <v>3</v>
      </c>
    </row>
    <row r="690" spans="1:13" ht="14" customHeight="1" x14ac:dyDescent="0.3">
      <c r="A690" s="9">
        <v>2</v>
      </c>
      <c r="B690" s="9" t="s">
        <v>0</v>
      </c>
      <c r="C690" s="140" t="s">
        <v>1610</v>
      </c>
      <c r="D690" s="141" t="s">
        <v>1816</v>
      </c>
      <c r="E690" s="141" t="s">
        <v>1655</v>
      </c>
      <c r="F690" s="142" t="s">
        <v>1656</v>
      </c>
      <c r="G690" s="144">
        <v>650000</v>
      </c>
      <c r="H690" s="144">
        <v>480000</v>
      </c>
      <c r="I690" s="144">
        <f>Table13[[#This Row],[Publish Rate]]-Table13[[#This Row],[Offering Corporate Rate 2026]]</f>
        <v>170000</v>
      </c>
      <c r="J690" s="76" t="str">
        <f>IF(Table13[[#This Row],[Nilai Selisih]]&gt;100000,"Recommend","Revise")</f>
        <v>Recommend</v>
      </c>
      <c r="K690" s="17" t="s">
        <v>3</v>
      </c>
      <c r="L690" s="151" t="s">
        <v>1657</v>
      </c>
      <c r="M690" s="130" t="s">
        <v>3</v>
      </c>
    </row>
    <row r="691" spans="1:13" ht="14" customHeight="1" x14ac:dyDescent="0.3">
      <c r="A691" s="9">
        <v>2</v>
      </c>
      <c r="B691" s="9" t="s">
        <v>0</v>
      </c>
      <c r="C691" s="140" t="s">
        <v>1610</v>
      </c>
      <c r="D691" s="141" t="s">
        <v>1269</v>
      </c>
      <c r="E691" s="141" t="s">
        <v>1658</v>
      </c>
      <c r="F691" s="142" t="s">
        <v>1659</v>
      </c>
      <c r="G691" s="144">
        <v>765000</v>
      </c>
      <c r="H691" s="144">
        <v>400000</v>
      </c>
      <c r="I691" s="144">
        <f>Table13[[#This Row],[Publish Rate]]-Table13[[#This Row],[Offering Corporate Rate 2026]]</f>
        <v>365000</v>
      </c>
      <c r="J691" s="76" t="str">
        <f>IF(Table13[[#This Row],[Nilai Selisih]]&gt;100000,"Recommend","Revise")</f>
        <v>Recommend</v>
      </c>
      <c r="K691" s="17" t="s">
        <v>3</v>
      </c>
      <c r="L691" s="151" t="s">
        <v>1660</v>
      </c>
      <c r="M691" s="130" t="s">
        <v>3</v>
      </c>
    </row>
    <row r="692" spans="1:13" ht="14" customHeight="1" x14ac:dyDescent="0.3">
      <c r="A692" s="9">
        <v>2</v>
      </c>
      <c r="B692" s="9" t="s">
        <v>0</v>
      </c>
      <c r="C692" s="140" t="s">
        <v>1610</v>
      </c>
      <c r="D692" s="141" t="s">
        <v>1808</v>
      </c>
      <c r="E692" s="141" t="s">
        <v>1661</v>
      </c>
      <c r="F692" s="142" t="s">
        <v>1662</v>
      </c>
      <c r="G692" s="144">
        <v>896665</v>
      </c>
      <c r="H692" s="144">
        <v>730000</v>
      </c>
      <c r="I692" s="144">
        <f>Table13[[#This Row],[Publish Rate]]-Table13[[#This Row],[Offering Corporate Rate 2026]]</f>
        <v>166665</v>
      </c>
      <c r="J692" s="76" t="str">
        <f>IF(Table13[[#This Row],[Nilai Selisih]]&gt;100000,"Recommend","Revise")</f>
        <v>Recommend</v>
      </c>
      <c r="K692" s="17" t="s">
        <v>3</v>
      </c>
      <c r="L692" s="151" t="s">
        <v>1663</v>
      </c>
      <c r="M692" s="130" t="s">
        <v>3</v>
      </c>
    </row>
    <row r="693" spans="1:13" ht="14" customHeight="1" x14ac:dyDescent="0.3">
      <c r="A693" s="9">
        <v>2</v>
      </c>
      <c r="B693" s="9" t="s">
        <v>0</v>
      </c>
      <c r="C693" s="140" t="s">
        <v>1610</v>
      </c>
      <c r="D693" s="141" t="s">
        <v>724</v>
      </c>
      <c r="E693" s="141" t="s">
        <v>1664</v>
      </c>
      <c r="F693" s="142" t="s">
        <v>1665</v>
      </c>
      <c r="G693" s="144">
        <v>704718</v>
      </c>
      <c r="H693" s="144">
        <v>550000</v>
      </c>
      <c r="I693" s="144">
        <f>Table13[[#This Row],[Publish Rate]]-Table13[[#This Row],[Offering Corporate Rate 2026]]</f>
        <v>154718</v>
      </c>
      <c r="J693" s="76" t="str">
        <f>IF(Table13[[#This Row],[Nilai Selisih]]&gt;100000,"Recommend","Revise")</f>
        <v>Recommend</v>
      </c>
      <c r="K693" s="17" t="s">
        <v>3</v>
      </c>
      <c r="L693" s="151" t="s">
        <v>1666</v>
      </c>
      <c r="M693" s="130" t="s">
        <v>3</v>
      </c>
    </row>
    <row r="694" spans="1:13" ht="14" customHeight="1" x14ac:dyDescent="0.3">
      <c r="A694" s="9">
        <v>2</v>
      </c>
      <c r="B694" s="9" t="s">
        <v>0</v>
      </c>
      <c r="C694" s="140" t="s">
        <v>1610</v>
      </c>
      <c r="D694" s="141" t="s">
        <v>1269</v>
      </c>
      <c r="E694" s="141" t="s">
        <v>1667</v>
      </c>
      <c r="F694" s="142" t="s">
        <v>1668</v>
      </c>
      <c r="G694" s="144">
        <v>400293</v>
      </c>
      <c r="H694" s="144">
        <v>395000</v>
      </c>
      <c r="I694" s="144">
        <f>Table13[[#This Row],[Publish Rate]]-Table13[[#This Row],[Offering Corporate Rate 2026]]</f>
        <v>5293</v>
      </c>
      <c r="J694" s="76" t="str">
        <f>IF(Table13[[#This Row],[Nilai Selisih]]&gt;100000,"Recommend","Revise")</f>
        <v>Revise</v>
      </c>
      <c r="K694" s="17" t="s">
        <v>3</v>
      </c>
      <c r="L694" s="151" t="s">
        <v>1669</v>
      </c>
      <c r="M694" s="130" t="s">
        <v>3</v>
      </c>
    </row>
    <row r="695" spans="1:13" ht="14" customHeight="1" x14ac:dyDescent="0.3">
      <c r="A695" s="9">
        <v>2</v>
      </c>
      <c r="B695" s="9" t="s">
        <v>0</v>
      </c>
      <c r="C695" s="140" t="s">
        <v>1610</v>
      </c>
      <c r="D695" s="141" t="s">
        <v>724</v>
      </c>
      <c r="E695" s="141" t="s">
        <v>1670</v>
      </c>
      <c r="F695" s="142" t="s">
        <v>1671</v>
      </c>
      <c r="G695" s="144">
        <v>733700</v>
      </c>
      <c r="H695" s="144">
        <v>500000</v>
      </c>
      <c r="I695" s="144">
        <f>Table13[[#This Row],[Publish Rate]]-Table13[[#This Row],[Offering Corporate Rate 2026]]</f>
        <v>233700</v>
      </c>
      <c r="J695" s="76" t="str">
        <f>IF(Table13[[#This Row],[Nilai Selisih]]&gt;100000,"Recommend","Revise")</f>
        <v>Recommend</v>
      </c>
      <c r="K695" s="17" t="s">
        <v>3</v>
      </c>
      <c r="L695" s="151" t="s">
        <v>1672</v>
      </c>
      <c r="M695" s="130" t="s">
        <v>3</v>
      </c>
    </row>
    <row r="696" spans="1:13" ht="14" customHeight="1" x14ac:dyDescent="0.3">
      <c r="A696" s="9">
        <v>2</v>
      </c>
      <c r="B696" s="9" t="s">
        <v>0</v>
      </c>
      <c r="C696" s="140" t="s">
        <v>1610</v>
      </c>
      <c r="D696" s="141" t="s">
        <v>724</v>
      </c>
      <c r="E696" s="141" t="s">
        <v>1673</v>
      </c>
      <c r="F696" s="142" t="s">
        <v>1674</v>
      </c>
      <c r="G696" s="144">
        <v>654234</v>
      </c>
      <c r="H696" s="144">
        <v>510000</v>
      </c>
      <c r="I696" s="144">
        <f>Table13[[#This Row],[Publish Rate]]-Table13[[#This Row],[Offering Corporate Rate 2026]]</f>
        <v>144234</v>
      </c>
      <c r="J696" s="76" t="str">
        <f>IF(Table13[[#This Row],[Nilai Selisih]]&gt;100000,"Recommend","Revise")</f>
        <v>Recommend</v>
      </c>
      <c r="K696" s="17" t="s">
        <v>3</v>
      </c>
      <c r="L696" s="151" t="s">
        <v>1663</v>
      </c>
      <c r="M696" s="130" t="s">
        <v>3</v>
      </c>
    </row>
    <row r="697" spans="1:13" ht="14" customHeight="1" x14ac:dyDescent="0.3">
      <c r="A697" s="9">
        <v>2</v>
      </c>
      <c r="B697" s="9" t="s">
        <v>0</v>
      </c>
      <c r="C697" s="140" t="s">
        <v>1610</v>
      </c>
      <c r="D697" s="141" t="s">
        <v>1268</v>
      </c>
      <c r="E697" s="141" t="s">
        <v>1675</v>
      </c>
      <c r="F697" s="142" t="s">
        <v>1676</v>
      </c>
      <c r="G697" s="144">
        <v>550592</v>
      </c>
      <c r="H697" s="144">
        <v>495000</v>
      </c>
      <c r="I697" s="144">
        <f>Table13[[#This Row],[Publish Rate]]-Table13[[#This Row],[Offering Corporate Rate 2026]]</f>
        <v>55592</v>
      </c>
      <c r="J697" s="76" t="str">
        <f>IF(Table13[[#This Row],[Nilai Selisih]]&gt;100000,"Recommend","Revise")</f>
        <v>Revise</v>
      </c>
      <c r="K697" s="17" t="s">
        <v>3</v>
      </c>
      <c r="L697" s="151" t="s">
        <v>1616</v>
      </c>
      <c r="M697" s="130" t="s">
        <v>3</v>
      </c>
    </row>
    <row r="698" spans="1:13" ht="14" customHeight="1" x14ac:dyDescent="0.3">
      <c r="A698" s="9">
        <v>2</v>
      </c>
      <c r="B698" s="9" t="s">
        <v>0</v>
      </c>
      <c r="C698" s="140" t="s">
        <v>1610</v>
      </c>
      <c r="D698" s="141" t="s">
        <v>724</v>
      </c>
      <c r="E698" s="141" t="s">
        <v>1677</v>
      </c>
      <c r="F698" s="142" t="s">
        <v>1678</v>
      </c>
      <c r="G698" s="144">
        <v>1488000</v>
      </c>
      <c r="H698" s="144">
        <v>800000</v>
      </c>
      <c r="I698" s="144">
        <f>Table13[[#This Row],[Publish Rate]]-Table13[[#This Row],[Offering Corporate Rate 2026]]</f>
        <v>688000</v>
      </c>
      <c r="J698" s="76" t="str">
        <f>IF(Table13[[#This Row],[Nilai Selisih]]&gt;100000,"Recommend","Revise")</f>
        <v>Recommend</v>
      </c>
      <c r="K698" s="17" t="s">
        <v>3</v>
      </c>
      <c r="L698" s="151" t="s">
        <v>1663</v>
      </c>
      <c r="M698" s="130" t="s">
        <v>3</v>
      </c>
    </row>
    <row r="699" spans="1:13" ht="14" customHeight="1" x14ac:dyDescent="0.3">
      <c r="A699" s="9">
        <v>2</v>
      </c>
      <c r="B699" s="9" t="s">
        <v>0</v>
      </c>
      <c r="C699" s="140" t="s">
        <v>1610</v>
      </c>
      <c r="D699" s="141" t="s">
        <v>1808</v>
      </c>
      <c r="E699" s="141" t="s">
        <v>1679</v>
      </c>
      <c r="F699" s="142" t="s">
        <v>1680</v>
      </c>
      <c r="G699" s="144">
        <v>1022971</v>
      </c>
      <c r="H699" s="144">
        <v>752400</v>
      </c>
      <c r="I699" s="144">
        <f>Table13[[#This Row],[Publish Rate]]-Table13[[#This Row],[Offering Corporate Rate 2026]]</f>
        <v>270571</v>
      </c>
      <c r="J699" s="76" t="str">
        <f>IF(Table13[[#This Row],[Nilai Selisih]]&gt;100000,"Recommend","Revise")</f>
        <v>Recommend</v>
      </c>
      <c r="K699" s="17" t="s">
        <v>3</v>
      </c>
      <c r="L699" s="151" t="s">
        <v>1616</v>
      </c>
      <c r="M699" s="130" t="s">
        <v>3</v>
      </c>
    </row>
    <row r="700" spans="1:13" ht="14" customHeight="1" x14ac:dyDescent="0.3">
      <c r="A700" s="9">
        <v>2</v>
      </c>
      <c r="B700" s="9" t="s">
        <v>0</v>
      </c>
      <c r="C700" s="140" t="s">
        <v>1610</v>
      </c>
      <c r="D700" s="141" t="s">
        <v>1269</v>
      </c>
      <c r="E700" s="141" t="s">
        <v>1681</v>
      </c>
      <c r="F700" s="142" t="s">
        <v>1682</v>
      </c>
      <c r="G700" s="144">
        <v>500000</v>
      </c>
      <c r="H700" s="144">
        <v>360000</v>
      </c>
      <c r="I700" s="144">
        <f>Table13[[#This Row],[Publish Rate]]-Table13[[#This Row],[Offering Corporate Rate 2026]]</f>
        <v>140000</v>
      </c>
      <c r="J700" s="76" t="str">
        <f>IF(Table13[[#This Row],[Nilai Selisih]]&gt;100000,"Recommend","Revise")</f>
        <v>Recommend</v>
      </c>
      <c r="K700" s="17" t="s">
        <v>3</v>
      </c>
      <c r="L700" s="151" t="s">
        <v>1683</v>
      </c>
      <c r="M700" s="130" t="s">
        <v>3</v>
      </c>
    </row>
    <row r="701" spans="1:13" ht="14" customHeight="1" x14ac:dyDescent="0.3">
      <c r="A701" s="9">
        <v>2</v>
      </c>
      <c r="B701" s="9" t="s">
        <v>0</v>
      </c>
      <c r="C701" s="140" t="s">
        <v>1610</v>
      </c>
      <c r="D701" s="157" t="s">
        <v>1806</v>
      </c>
      <c r="E701" s="141" t="s">
        <v>1684</v>
      </c>
      <c r="F701" s="142" t="s">
        <v>1685</v>
      </c>
      <c r="G701" s="144">
        <v>630000</v>
      </c>
      <c r="H701" s="144">
        <v>550000</v>
      </c>
      <c r="I701" s="144">
        <f>Table13[[#This Row],[Publish Rate]]-Table13[[#This Row],[Offering Corporate Rate 2026]]</f>
        <v>80000</v>
      </c>
      <c r="J701" s="76" t="str">
        <f>IF(Table13[[#This Row],[Nilai Selisih]]&gt;100000,"Recommend","Revise")</f>
        <v>Revise</v>
      </c>
      <c r="K701" s="17" t="s">
        <v>3</v>
      </c>
      <c r="L701" s="151" t="s">
        <v>1686</v>
      </c>
      <c r="M701" s="130" t="s">
        <v>3</v>
      </c>
    </row>
    <row r="702" spans="1:13" ht="14" customHeight="1" x14ac:dyDescent="0.3">
      <c r="A702" s="9">
        <v>2</v>
      </c>
      <c r="B702" s="9" t="s">
        <v>0</v>
      </c>
      <c r="C702" s="140" t="s">
        <v>1610</v>
      </c>
      <c r="D702" s="141" t="s">
        <v>724</v>
      </c>
      <c r="E702" s="141" t="s">
        <v>1687</v>
      </c>
      <c r="F702" s="142" t="s">
        <v>1688</v>
      </c>
      <c r="G702" s="144">
        <v>1411575</v>
      </c>
      <c r="H702" s="144">
        <v>1300000</v>
      </c>
      <c r="I702" s="144">
        <f>Table13[[#This Row],[Publish Rate]]-Table13[[#This Row],[Offering Corporate Rate 2026]]</f>
        <v>111575</v>
      </c>
      <c r="J702" s="76" t="str">
        <f>IF(Table13[[#This Row],[Nilai Selisih]]&gt;100000,"Recommend","Revise")</f>
        <v>Recommend</v>
      </c>
      <c r="K702" s="17" t="s">
        <v>3</v>
      </c>
      <c r="L702" s="151" t="s">
        <v>1689</v>
      </c>
      <c r="M702" s="130" t="s">
        <v>3</v>
      </c>
    </row>
    <row r="703" spans="1:13" ht="14" customHeight="1" x14ac:dyDescent="0.3">
      <c r="A703" s="9">
        <v>2</v>
      </c>
      <c r="B703" s="9" t="s">
        <v>0</v>
      </c>
      <c r="C703" s="140" t="s">
        <v>1610</v>
      </c>
      <c r="D703" s="141" t="s">
        <v>1813</v>
      </c>
      <c r="E703" s="141" t="s">
        <v>1690</v>
      </c>
      <c r="F703" s="142" t="s">
        <v>1691</v>
      </c>
      <c r="G703" s="144">
        <v>622164</v>
      </c>
      <c r="H703" s="144">
        <v>590000</v>
      </c>
      <c r="I703" s="144">
        <f>Table13[[#This Row],[Publish Rate]]-Table13[[#This Row],[Offering Corporate Rate 2026]]</f>
        <v>32164</v>
      </c>
      <c r="J703" s="76" t="str">
        <f>IF(Table13[[#This Row],[Nilai Selisih]]&gt;100000,"Recommend","Revise")</f>
        <v>Revise</v>
      </c>
      <c r="K703" s="17" t="s">
        <v>3</v>
      </c>
      <c r="L703" s="151" t="s">
        <v>1616</v>
      </c>
      <c r="M703" s="130" t="s">
        <v>3</v>
      </c>
    </row>
    <row r="704" spans="1:13" ht="14" customHeight="1" x14ac:dyDescent="0.3">
      <c r="A704" s="9">
        <v>2</v>
      </c>
      <c r="B704" s="9" t="s">
        <v>0</v>
      </c>
      <c r="C704" s="140" t="s">
        <v>1610</v>
      </c>
      <c r="D704" s="141" t="s">
        <v>1809</v>
      </c>
      <c r="E704" s="141" t="s">
        <v>1692</v>
      </c>
      <c r="F704" s="142" t="s">
        <v>1693</v>
      </c>
      <c r="G704" s="144">
        <v>1200001</v>
      </c>
      <c r="H704" s="144">
        <v>670000</v>
      </c>
      <c r="I704" s="144">
        <f>Table13[[#This Row],[Publish Rate]]-Table13[[#This Row],[Offering Corporate Rate 2026]]</f>
        <v>530001</v>
      </c>
      <c r="J704" s="76" t="str">
        <f>IF(Table13[[#This Row],[Nilai Selisih]]&gt;100000,"Recommend","Revise")</f>
        <v>Recommend</v>
      </c>
      <c r="K704" s="17" t="s">
        <v>3</v>
      </c>
      <c r="L704" s="151" t="s">
        <v>1694</v>
      </c>
      <c r="M704" s="130" t="s">
        <v>3</v>
      </c>
    </row>
    <row r="705" spans="1:13" ht="14" customHeight="1" x14ac:dyDescent="0.3">
      <c r="A705" s="9">
        <v>2</v>
      </c>
      <c r="B705" s="9" t="s">
        <v>0</v>
      </c>
      <c r="C705" s="140" t="s">
        <v>1610</v>
      </c>
      <c r="D705" s="141" t="s">
        <v>1811</v>
      </c>
      <c r="E705" s="141" t="s">
        <v>1695</v>
      </c>
      <c r="F705" s="142" t="s">
        <v>1696</v>
      </c>
      <c r="G705" s="144">
        <v>540000</v>
      </c>
      <c r="H705" s="144">
        <v>475000</v>
      </c>
      <c r="I705" s="144">
        <f>Table13[[#This Row],[Publish Rate]]-Table13[[#This Row],[Offering Corporate Rate 2026]]</f>
        <v>65000</v>
      </c>
      <c r="J705" s="76" t="str">
        <f>IF(Table13[[#This Row],[Nilai Selisih]]&gt;100000,"Recommend","Revise")</f>
        <v>Revise</v>
      </c>
      <c r="K705" s="17" t="s">
        <v>3</v>
      </c>
      <c r="L705" s="151" t="s">
        <v>1686</v>
      </c>
      <c r="M705" s="130" t="s">
        <v>3</v>
      </c>
    </row>
    <row r="706" spans="1:13" ht="14" customHeight="1" x14ac:dyDescent="0.3">
      <c r="A706" s="9">
        <v>2</v>
      </c>
      <c r="B706" s="9" t="s">
        <v>0</v>
      </c>
      <c r="C706" s="140" t="s">
        <v>1610</v>
      </c>
      <c r="D706" s="141" t="s">
        <v>1808</v>
      </c>
      <c r="E706" s="141" t="s">
        <v>1697</v>
      </c>
      <c r="F706" s="142" t="s">
        <v>1698</v>
      </c>
      <c r="G706" s="144">
        <v>1272003</v>
      </c>
      <c r="H706" s="144">
        <v>860000</v>
      </c>
      <c r="I706" s="144">
        <f>Table13[[#This Row],[Publish Rate]]-Table13[[#This Row],[Offering Corporate Rate 2026]]</f>
        <v>412003</v>
      </c>
      <c r="J706" s="76" t="str">
        <f>IF(Table13[[#This Row],[Nilai Selisih]]&gt;100000,"Recommend","Revise")</f>
        <v>Recommend</v>
      </c>
      <c r="K706" s="17" t="s">
        <v>3</v>
      </c>
      <c r="L706" s="151" t="s">
        <v>1699</v>
      </c>
      <c r="M706" s="130" t="s">
        <v>3</v>
      </c>
    </row>
    <row r="707" spans="1:13" ht="14" customHeight="1" x14ac:dyDescent="0.3">
      <c r="A707" s="9">
        <v>2</v>
      </c>
      <c r="B707" s="9" t="s">
        <v>0</v>
      </c>
      <c r="C707" s="140" t="s">
        <v>1610</v>
      </c>
      <c r="D707" s="141" t="s">
        <v>1269</v>
      </c>
      <c r="E707" s="141" t="s">
        <v>1700</v>
      </c>
      <c r="F707" s="142" t="s">
        <v>1701</v>
      </c>
      <c r="G707" s="144">
        <v>740700</v>
      </c>
      <c r="H707" s="144">
        <v>570000</v>
      </c>
      <c r="I707" s="144">
        <f>Table13[[#This Row],[Publish Rate]]-Table13[[#This Row],[Offering Corporate Rate 2026]]</f>
        <v>170700</v>
      </c>
      <c r="J707" s="76" t="str">
        <f>IF(Table13[[#This Row],[Nilai Selisih]]&gt;100000,"Recommend","Revise")</f>
        <v>Recommend</v>
      </c>
      <c r="K707" s="17" t="s">
        <v>3</v>
      </c>
      <c r="L707" s="151" t="s">
        <v>1702</v>
      </c>
      <c r="M707" s="130" t="s">
        <v>3</v>
      </c>
    </row>
    <row r="708" spans="1:13" ht="14" customHeight="1" x14ac:dyDescent="0.3">
      <c r="A708" s="9">
        <v>2</v>
      </c>
      <c r="B708" s="9" t="s">
        <v>0</v>
      </c>
      <c r="C708" s="140" t="s">
        <v>1610</v>
      </c>
      <c r="D708" s="141" t="s">
        <v>1269</v>
      </c>
      <c r="E708" s="141" t="s">
        <v>1703</v>
      </c>
      <c r="F708" s="142" t="s">
        <v>1704</v>
      </c>
      <c r="G708" s="144">
        <v>505259</v>
      </c>
      <c r="H708" s="144">
        <v>550000</v>
      </c>
      <c r="I708" s="144">
        <f>Table13[[#This Row],[Publish Rate]]-Table13[[#This Row],[Offering Corporate Rate 2026]]</f>
        <v>-44741</v>
      </c>
      <c r="J708" s="76" t="str">
        <f>IF(Table13[[#This Row],[Nilai Selisih]]&gt;100000,"Recommend","Revise")</f>
        <v>Revise</v>
      </c>
      <c r="K708" s="17" t="s">
        <v>3</v>
      </c>
      <c r="L708" s="151" t="s">
        <v>1705</v>
      </c>
      <c r="M708" s="130" t="s">
        <v>3</v>
      </c>
    </row>
    <row r="709" spans="1:13" ht="14" customHeight="1" x14ac:dyDescent="0.3">
      <c r="A709" s="9">
        <v>2</v>
      </c>
      <c r="B709" s="9" t="s">
        <v>0</v>
      </c>
      <c r="C709" s="140" t="s">
        <v>1610</v>
      </c>
      <c r="D709" s="141" t="s">
        <v>1808</v>
      </c>
      <c r="E709" s="141" t="s">
        <v>1706</v>
      </c>
      <c r="F709" s="142" t="s">
        <v>1707</v>
      </c>
      <c r="G709" s="144">
        <v>1724427</v>
      </c>
      <c r="H709" s="144">
        <v>1260000</v>
      </c>
      <c r="I709" s="144">
        <f>Table13[[#This Row],[Publish Rate]]-Table13[[#This Row],[Offering Corporate Rate 2026]]</f>
        <v>464427</v>
      </c>
      <c r="J709" s="76" t="str">
        <f>IF(Table13[[#This Row],[Nilai Selisih]]&gt;100000,"Recommend","Revise")</f>
        <v>Recommend</v>
      </c>
      <c r="K709" s="17" t="s">
        <v>3</v>
      </c>
      <c r="L709" s="151" t="s">
        <v>1616</v>
      </c>
      <c r="M709" s="130" t="s">
        <v>3</v>
      </c>
    </row>
    <row r="710" spans="1:13" ht="14" customHeight="1" x14ac:dyDescent="0.3">
      <c r="A710" s="9">
        <v>2</v>
      </c>
      <c r="B710" s="9" t="s">
        <v>0</v>
      </c>
      <c r="C710" s="140" t="s">
        <v>1610</v>
      </c>
      <c r="D710" s="141" t="s">
        <v>1269</v>
      </c>
      <c r="E710" s="141" t="s">
        <v>1708</v>
      </c>
      <c r="F710" s="142" t="s">
        <v>1709</v>
      </c>
      <c r="G710" s="144">
        <v>585000</v>
      </c>
      <c r="H710" s="144">
        <v>380000</v>
      </c>
      <c r="I710" s="144">
        <f>Table13[[#This Row],[Publish Rate]]-Table13[[#This Row],[Offering Corporate Rate 2026]]</f>
        <v>205000</v>
      </c>
      <c r="J710" s="76" t="str">
        <f>IF(Table13[[#This Row],[Nilai Selisih]]&gt;100000,"Recommend","Revise")</f>
        <v>Recommend</v>
      </c>
      <c r="K710" s="17" t="s">
        <v>3</v>
      </c>
      <c r="L710" s="151" t="s">
        <v>1710</v>
      </c>
      <c r="M710" s="130" t="s">
        <v>3</v>
      </c>
    </row>
    <row r="711" spans="1:13" ht="14" customHeight="1" x14ac:dyDescent="0.3">
      <c r="A711" s="9">
        <v>2</v>
      </c>
      <c r="B711" s="9" t="s">
        <v>0</v>
      </c>
      <c r="C711" s="140" t="s">
        <v>1610</v>
      </c>
      <c r="D711" s="141" t="s">
        <v>30</v>
      </c>
      <c r="E711" s="141" t="s">
        <v>1711</v>
      </c>
      <c r="F711" s="142" t="s">
        <v>1712</v>
      </c>
      <c r="G711" s="144">
        <v>2000000</v>
      </c>
      <c r="H711" s="144">
        <v>1700000</v>
      </c>
      <c r="I711" s="144">
        <f>Table13[[#This Row],[Publish Rate]]-Table13[[#This Row],[Offering Corporate Rate 2026]]</f>
        <v>300000</v>
      </c>
      <c r="J711" s="76" t="str">
        <f>IF(Table13[[#This Row],[Nilai Selisih]]&gt;100000,"Recommend","Revise")</f>
        <v>Recommend</v>
      </c>
      <c r="K711" s="17" t="s">
        <v>3</v>
      </c>
      <c r="L711" s="151" t="s">
        <v>1635</v>
      </c>
      <c r="M711" s="130" t="s">
        <v>3</v>
      </c>
    </row>
    <row r="712" spans="1:13" ht="14" customHeight="1" x14ac:dyDescent="0.3">
      <c r="A712" s="9">
        <v>2</v>
      </c>
      <c r="B712" s="9" t="s">
        <v>0</v>
      </c>
      <c r="C712" s="140" t="s">
        <v>1610</v>
      </c>
      <c r="D712" s="141" t="s">
        <v>1269</v>
      </c>
      <c r="E712" s="141" t="s">
        <v>1713</v>
      </c>
      <c r="F712" s="142" t="s">
        <v>1714</v>
      </c>
      <c r="G712" s="144">
        <v>304272</v>
      </c>
      <c r="H712" s="144">
        <v>370000</v>
      </c>
      <c r="I712" s="144">
        <f>Table13[[#This Row],[Publish Rate]]-Table13[[#This Row],[Offering Corporate Rate 2026]]</f>
        <v>-65728</v>
      </c>
      <c r="J712" s="76" t="str">
        <f>IF(Table13[[#This Row],[Nilai Selisih]]&gt;100000,"Recommend","Revise")</f>
        <v>Revise</v>
      </c>
      <c r="K712" s="17" t="s">
        <v>3</v>
      </c>
      <c r="L712" s="151" t="s">
        <v>1660</v>
      </c>
      <c r="M712" s="130" t="s">
        <v>3</v>
      </c>
    </row>
    <row r="713" spans="1:13" ht="14" customHeight="1" x14ac:dyDescent="0.3">
      <c r="A713" s="9">
        <v>2</v>
      </c>
      <c r="B713" s="9" t="s">
        <v>0</v>
      </c>
      <c r="C713" s="140" t="s">
        <v>1610</v>
      </c>
      <c r="D713" s="141" t="s">
        <v>1804</v>
      </c>
      <c r="E713" s="141" t="s">
        <v>1715</v>
      </c>
      <c r="F713" s="142" t="s">
        <v>1716</v>
      </c>
      <c r="G713" s="144">
        <v>1090890</v>
      </c>
      <c r="H713" s="144">
        <v>608000</v>
      </c>
      <c r="I713" s="144">
        <f>Table13[[#This Row],[Publish Rate]]-Table13[[#This Row],[Offering Corporate Rate 2026]]</f>
        <v>482890</v>
      </c>
      <c r="J713" s="76" t="str">
        <f>IF(Table13[[#This Row],[Nilai Selisih]]&gt;100000,"Recommend","Revise")</f>
        <v>Recommend</v>
      </c>
      <c r="K713" s="17" t="s">
        <v>3</v>
      </c>
      <c r="L713" s="151" t="s">
        <v>1717</v>
      </c>
      <c r="M713" s="130" t="s">
        <v>3</v>
      </c>
    </row>
    <row r="714" spans="1:13" ht="14" customHeight="1" x14ac:dyDescent="0.3">
      <c r="A714" s="9">
        <v>2</v>
      </c>
      <c r="B714" s="9" t="s">
        <v>0</v>
      </c>
      <c r="C714" s="140" t="s">
        <v>1610</v>
      </c>
      <c r="D714" s="141" t="s">
        <v>1530</v>
      </c>
      <c r="E714" s="141" t="s">
        <v>1718</v>
      </c>
      <c r="F714" s="142" t="s">
        <v>1719</v>
      </c>
      <c r="G714" s="144">
        <v>777788</v>
      </c>
      <c r="H714" s="144">
        <v>630000</v>
      </c>
      <c r="I714" s="144">
        <f>Table13[[#This Row],[Publish Rate]]-Table13[[#This Row],[Offering Corporate Rate 2026]]</f>
        <v>147788</v>
      </c>
      <c r="J714" s="76" t="str">
        <f>IF(Table13[[#This Row],[Nilai Selisih]]&gt;100000,"Recommend","Revise")</f>
        <v>Recommend</v>
      </c>
      <c r="K714" s="17" t="s">
        <v>3</v>
      </c>
      <c r="L714" s="151" t="s">
        <v>1720</v>
      </c>
      <c r="M714" s="130" t="s">
        <v>3</v>
      </c>
    </row>
    <row r="715" spans="1:13" ht="14" customHeight="1" x14ac:dyDescent="0.3">
      <c r="A715" s="9">
        <v>2</v>
      </c>
      <c r="B715" s="9" t="s">
        <v>0</v>
      </c>
      <c r="C715" s="140" t="s">
        <v>1610</v>
      </c>
      <c r="D715" s="141" t="s">
        <v>30</v>
      </c>
      <c r="E715" s="141" t="s">
        <v>1721</v>
      </c>
      <c r="F715" s="142" t="s">
        <v>1722</v>
      </c>
      <c r="G715" s="144">
        <v>475500</v>
      </c>
      <c r="H715" s="144">
        <v>425000</v>
      </c>
      <c r="I715" s="144">
        <f>Table13[[#This Row],[Publish Rate]]-Table13[[#This Row],[Offering Corporate Rate 2026]]</f>
        <v>50500</v>
      </c>
      <c r="J715" s="76" t="str">
        <f>IF(Table13[[#This Row],[Nilai Selisih]]&gt;100000,"Recommend","Revise")</f>
        <v>Revise</v>
      </c>
      <c r="K715" s="17" t="s">
        <v>3</v>
      </c>
      <c r="L715" s="151" t="s">
        <v>1723</v>
      </c>
      <c r="M715" s="130" t="s">
        <v>3</v>
      </c>
    </row>
    <row r="716" spans="1:13" ht="14" customHeight="1" x14ac:dyDescent="0.3">
      <c r="A716" s="9">
        <v>2</v>
      </c>
      <c r="B716" s="9" t="s">
        <v>0</v>
      </c>
      <c r="C716" s="140" t="s">
        <v>1610</v>
      </c>
      <c r="D716" s="141" t="s">
        <v>1808</v>
      </c>
      <c r="E716" s="141" t="s">
        <v>1724</v>
      </c>
      <c r="F716" s="142" t="s">
        <v>1725</v>
      </c>
      <c r="G716" s="144">
        <v>594000</v>
      </c>
      <c r="H716" s="144">
        <v>495000</v>
      </c>
      <c r="I716" s="144">
        <f>Table13[[#This Row],[Publish Rate]]-Table13[[#This Row],[Offering Corporate Rate 2026]]</f>
        <v>99000</v>
      </c>
      <c r="J716" s="76" t="str">
        <f>IF(Table13[[#This Row],[Nilai Selisih]]&gt;100000,"Recommend","Revise")</f>
        <v>Revise</v>
      </c>
      <c r="K716" s="17" t="s">
        <v>3</v>
      </c>
      <c r="L716" s="151" t="s">
        <v>1705</v>
      </c>
      <c r="M716" s="130" t="s">
        <v>3</v>
      </c>
    </row>
    <row r="717" spans="1:13" ht="14" customHeight="1" x14ac:dyDescent="0.3">
      <c r="A717" s="9">
        <v>2</v>
      </c>
      <c r="B717" s="9" t="s">
        <v>0</v>
      </c>
      <c r="C717" s="140" t="s">
        <v>1610</v>
      </c>
      <c r="D717" s="141" t="s">
        <v>1268</v>
      </c>
      <c r="E717" s="141" t="s">
        <v>1726</v>
      </c>
      <c r="F717" s="142" t="s">
        <v>1727</v>
      </c>
      <c r="G717" s="144">
        <v>464492</v>
      </c>
      <c r="H717" s="144">
        <v>425000</v>
      </c>
      <c r="I717" s="144">
        <f>Table13[[#This Row],[Publish Rate]]-Table13[[#This Row],[Offering Corporate Rate 2026]]</f>
        <v>39492</v>
      </c>
      <c r="J717" s="76" t="str">
        <f>IF(Table13[[#This Row],[Nilai Selisih]]&gt;100000,"Recommend","Revise")</f>
        <v>Revise</v>
      </c>
      <c r="K717" s="17" t="s">
        <v>3</v>
      </c>
      <c r="L717" s="151" t="s">
        <v>1705</v>
      </c>
      <c r="M717" s="130" t="s">
        <v>3</v>
      </c>
    </row>
    <row r="718" spans="1:13" ht="14" customHeight="1" x14ac:dyDescent="0.3">
      <c r="A718" s="9">
        <v>2</v>
      </c>
      <c r="B718" s="9" t="s">
        <v>0</v>
      </c>
      <c r="C718" s="140" t="s">
        <v>1610</v>
      </c>
      <c r="D718" s="141" t="s">
        <v>1806</v>
      </c>
      <c r="E718" s="141" t="s">
        <v>1728</v>
      </c>
      <c r="F718" s="142" t="s">
        <v>1729</v>
      </c>
      <c r="G718" s="144">
        <v>1170094</v>
      </c>
      <c r="H718" s="144">
        <v>790000</v>
      </c>
      <c r="I718" s="144">
        <f>Table13[[#This Row],[Publish Rate]]-Table13[[#This Row],[Offering Corporate Rate 2026]]</f>
        <v>380094</v>
      </c>
      <c r="J718" s="76" t="str">
        <f>IF(Table13[[#This Row],[Nilai Selisih]]&gt;100000,"Recommend","Revise")</f>
        <v>Recommend</v>
      </c>
      <c r="K718" s="17" t="s">
        <v>3</v>
      </c>
      <c r="L718" s="151" t="s">
        <v>1635</v>
      </c>
      <c r="M718" s="130" t="s">
        <v>3</v>
      </c>
    </row>
    <row r="719" spans="1:13" ht="14" customHeight="1" x14ac:dyDescent="0.3">
      <c r="A719" s="9">
        <v>2</v>
      </c>
      <c r="B719" s="9" t="s">
        <v>0</v>
      </c>
      <c r="C719" s="140" t="s">
        <v>1610</v>
      </c>
      <c r="D719" s="141" t="s">
        <v>513</v>
      </c>
      <c r="E719" s="141" t="s">
        <v>1730</v>
      </c>
      <c r="F719" s="142" t="s">
        <v>1731</v>
      </c>
      <c r="G719" s="144">
        <v>607500</v>
      </c>
      <c r="H719" s="144">
        <v>500000</v>
      </c>
      <c r="I719" s="144">
        <f>Table13[[#This Row],[Publish Rate]]-Table13[[#This Row],[Offering Corporate Rate 2026]]</f>
        <v>107500</v>
      </c>
      <c r="J719" s="76" t="str">
        <f>IF(Table13[[#This Row],[Nilai Selisih]]&gt;100000,"Recommend","Revise")</f>
        <v>Recommend</v>
      </c>
      <c r="K719" s="17" t="s">
        <v>3</v>
      </c>
      <c r="L719" s="151" t="s">
        <v>1732</v>
      </c>
      <c r="M719" s="130" t="s">
        <v>3</v>
      </c>
    </row>
    <row r="720" spans="1:13" ht="14" customHeight="1" x14ac:dyDescent="0.3">
      <c r="A720" s="9">
        <v>2</v>
      </c>
      <c r="B720" s="9" t="s">
        <v>0</v>
      </c>
      <c r="C720" s="140" t="s">
        <v>1610</v>
      </c>
      <c r="D720" s="141" t="s">
        <v>1808</v>
      </c>
      <c r="E720" s="141" t="s">
        <v>1733</v>
      </c>
      <c r="F720" s="142" t="s">
        <v>1734</v>
      </c>
      <c r="G720" s="144">
        <v>1067781</v>
      </c>
      <c r="H720" s="144">
        <v>750000</v>
      </c>
      <c r="I720" s="144">
        <f>Table13[[#This Row],[Publish Rate]]-Table13[[#This Row],[Offering Corporate Rate 2026]]</f>
        <v>317781</v>
      </c>
      <c r="J720" s="76" t="str">
        <f>IF(Table13[[#This Row],[Nilai Selisih]]&gt;100000,"Recommend","Revise")</f>
        <v>Recommend</v>
      </c>
      <c r="K720" s="17" t="s">
        <v>3</v>
      </c>
      <c r="L720" s="151" t="s">
        <v>1735</v>
      </c>
      <c r="M720" s="130" t="s">
        <v>3</v>
      </c>
    </row>
    <row r="721" spans="1:13" ht="14" customHeight="1" x14ac:dyDescent="0.3">
      <c r="A721" s="9">
        <v>2</v>
      </c>
      <c r="B721" s="9" t="s">
        <v>0</v>
      </c>
      <c r="C721" s="140" t="s">
        <v>1610</v>
      </c>
      <c r="D721" s="141" t="s">
        <v>724</v>
      </c>
      <c r="E721" s="141" t="s">
        <v>1736</v>
      </c>
      <c r="F721" s="142" t="s">
        <v>1737</v>
      </c>
      <c r="G721" s="144">
        <v>1355200</v>
      </c>
      <c r="H721" s="144">
        <v>430000</v>
      </c>
      <c r="I721" s="144">
        <f>Table13[[#This Row],[Publish Rate]]-Table13[[#This Row],[Offering Corporate Rate 2026]]</f>
        <v>925200</v>
      </c>
      <c r="J721" s="76" t="str">
        <f>IF(Table13[[#This Row],[Nilai Selisih]]&gt;100000,"Recommend","Revise")</f>
        <v>Recommend</v>
      </c>
      <c r="K721" s="17" t="s">
        <v>3</v>
      </c>
      <c r="L721" s="151" t="s">
        <v>1732</v>
      </c>
      <c r="M721" s="130" t="s">
        <v>3</v>
      </c>
    </row>
    <row r="722" spans="1:13" ht="14" customHeight="1" x14ac:dyDescent="0.3">
      <c r="A722" s="9">
        <v>2</v>
      </c>
      <c r="B722" s="9" t="s">
        <v>0</v>
      </c>
      <c r="C722" s="140" t="s">
        <v>1610</v>
      </c>
      <c r="D722" s="141" t="s">
        <v>1808</v>
      </c>
      <c r="E722" s="141" t="s">
        <v>1738</v>
      </c>
      <c r="F722" s="142" t="s">
        <v>1739</v>
      </c>
      <c r="G722" s="144">
        <v>574200</v>
      </c>
      <c r="H722" s="144">
        <v>480000</v>
      </c>
      <c r="I722" s="144">
        <f>Table13[[#This Row],[Publish Rate]]-Table13[[#This Row],[Offering Corporate Rate 2026]]</f>
        <v>94200</v>
      </c>
      <c r="J722" s="76" t="str">
        <f>IF(Table13[[#This Row],[Nilai Selisih]]&gt;100000,"Recommend","Revise")</f>
        <v>Revise</v>
      </c>
      <c r="K722" s="17" t="s">
        <v>3</v>
      </c>
      <c r="L722" s="151" t="s">
        <v>1740</v>
      </c>
      <c r="M722" s="130" t="s">
        <v>3</v>
      </c>
    </row>
    <row r="723" spans="1:13" ht="14" customHeight="1" x14ac:dyDescent="0.3">
      <c r="A723" s="9">
        <v>2</v>
      </c>
      <c r="B723" s="9" t="s">
        <v>0</v>
      </c>
      <c r="C723" s="140" t="s">
        <v>1610</v>
      </c>
      <c r="D723" s="141" t="s">
        <v>1805</v>
      </c>
      <c r="E723" s="141" t="s">
        <v>1741</v>
      </c>
      <c r="F723" s="142" t="s">
        <v>1742</v>
      </c>
      <c r="G723" s="144">
        <v>614250</v>
      </c>
      <c r="H723" s="144">
        <v>530000</v>
      </c>
      <c r="I723" s="144">
        <f>Table13[[#This Row],[Publish Rate]]-Table13[[#This Row],[Offering Corporate Rate 2026]]</f>
        <v>84250</v>
      </c>
      <c r="J723" s="76" t="str">
        <f>IF(Table13[[#This Row],[Nilai Selisih]]&gt;100000,"Recommend","Revise")</f>
        <v>Revise</v>
      </c>
      <c r="K723" s="17" t="s">
        <v>3</v>
      </c>
      <c r="L723" s="151" t="s">
        <v>1705</v>
      </c>
      <c r="M723" s="130" t="s">
        <v>3</v>
      </c>
    </row>
    <row r="724" spans="1:13" ht="14" customHeight="1" x14ac:dyDescent="0.3">
      <c r="A724" s="9">
        <v>2</v>
      </c>
      <c r="B724" s="9" t="s">
        <v>0</v>
      </c>
      <c r="C724" s="140" t="s">
        <v>1610</v>
      </c>
      <c r="D724" s="141" t="s">
        <v>1268</v>
      </c>
      <c r="E724" s="141" t="s">
        <v>1743</v>
      </c>
      <c r="F724" s="142" t="s">
        <v>1744</v>
      </c>
      <c r="G724" s="144">
        <v>1979593</v>
      </c>
      <c r="H724" s="144">
        <v>1280000</v>
      </c>
      <c r="I724" s="144">
        <f>Table13[[#This Row],[Publish Rate]]-Table13[[#This Row],[Offering Corporate Rate 2026]]</f>
        <v>699593</v>
      </c>
      <c r="J724" s="76" t="str">
        <f>IF(Table13[[#This Row],[Nilai Selisih]]&gt;100000,"Recommend","Revise")</f>
        <v>Recommend</v>
      </c>
      <c r="K724" s="17" t="s">
        <v>3</v>
      </c>
      <c r="L724" s="151" t="s">
        <v>1745</v>
      </c>
      <c r="M724" s="130" t="s">
        <v>3</v>
      </c>
    </row>
    <row r="725" spans="1:13" ht="14" customHeight="1" x14ac:dyDescent="0.3">
      <c r="A725" s="9">
        <v>2</v>
      </c>
      <c r="B725" s="9" t="s">
        <v>0</v>
      </c>
      <c r="C725" s="140" t="s">
        <v>1610</v>
      </c>
      <c r="D725" s="141" t="s">
        <v>1809</v>
      </c>
      <c r="E725" s="141" t="s">
        <v>1746</v>
      </c>
      <c r="F725" s="142" t="s">
        <v>1747</v>
      </c>
      <c r="G725" s="144">
        <v>584100</v>
      </c>
      <c r="H725" s="144">
        <v>385000</v>
      </c>
      <c r="I725" s="144">
        <f>Table13[[#This Row],[Publish Rate]]-Table13[[#This Row],[Offering Corporate Rate 2026]]</f>
        <v>199100</v>
      </c>
      <c r="J725" s="76" t="str">
        <f>IF(Table13[[#This Row],[Nilai Selisih]]&gt;100000,"Recommend","Revise")</f>
        <v>Recommend</v>
      </c>
      <c r="K725" s="17" t="s">
        <v>3</v>
      </c>
      <c r="L725" s="151" t="s">
        <v>1748</v>
      </c>
      <c r="M725" s="130" t="s">
        <v>3</v>
      </c>
    </row>
    <row r="726" spans="1:13" ht="14" customHeight="1" x14ac:dyDescent="0.3">
      <c r="A726" s="9">
        <v>2</v>
      </c>
      <c r="B726" s="9" t="s">
        <v>0</v>
      </c>
      <c r="C726" s="140" t="s">
        <v>1610</v>
      </c>
      <c r="D726" s="141" t="s">
        <v>1808</v>
      </c>
      <c r="E726" s="141" t="s">
        <v>1749</v>
      </c>
      <c r="F726" s="142" t="s">
        <v>1750</v>
      </c>
      <c r="G726" s="144">
        <v>1187500</v>
      </c>
      <c r="H726" s="144">
        <v>650000</v>
      </c>
      <c r="I726" s="144">
        <f>Table13[[#This Row],[Publish Rate]]-Table13[[#This Row],[Offering Corporate Rate 2026]]</f>
        <v>537500</v>
      </c>
      <c r="J726" s="76" t="str">
        <f>IF(Table13[[#This Row],[Nilai Selisih]]&gt;100000,"Recommend","Revise")</f>
        <v>Recommend</v>
      </c>
      <c r="K726" s="17" t="s">
        <v>3</v>
      </c>
      <c r="L726" s="151" t="s">
        <v>1751</v>
      </c>
      <c r="M726" s="130" t="s">
        <v>3</v>
      </c>
    </row>
    <row r="727" spans="1:13" ht="14" customHeight="1" x14ac:dyDescent="0.3">
      <c r="A727" s="9">
        <v>2</v>
      </c>
      <c r="B727" s="9" t="s">
        <v>0</v>
      </c>
      <c r="C727" s="147" t="s">
        <v>1610</v>
      </c>
      <c r="D727" s="147" t="s">
        <v>1752</v>
      </c>
      <c r="E727" s="147" t="s">
        <v>1753</v>
      </c>
      <c r="F727" s="148" t="s">
        <v>1754</v>
      </c>
      <c r="G727" s="125">
        <v>1188000</v>
      </c>
      <c r="H727" s="125">
        <v>990000</v>
      </c>
      <c r="I727" s="125">
        <f>Table13[[#This Row],[Publish Rate]]-Table13[[#This Row],[Offering Corporate Rate 2026]]</f>
        <v>198000</v>
      </c>
      <c r="J727" s="76" t="str">
        <f>IF(Table13[[#This Row],[Nilai Selisih]]&gt;100000,"Recommend","Revise")</f>
        <v>Recommend</v>
      </c>
      <c r="K727" s="17" t="s">
        <v>3</v>
      </c>
      <c r="L727" s="158" t="s">
        <v>1755</v>
      </c>
      <c r="M727" s="130" t="s">
        <v>3</v>
      </c>
    </row>
    <row r="728" spans="1:13" ht="14" customHeight="1" x14ac:dyDescent="0.3">
      <c r="A728" s="9">
        <v>2</v>
      </c>
      <c r="B728" s="9" t="s">
        <v>0</v>
      </c>
      <c r="C728" s="147" t="s">
        <v>1610</v>
      </c>
      <c r="D728" s="159" t="s">
        <v>1808</v>
      </c>
      <c r="E728" s="160" t="s">
        <v>1756</v>
      </c>
      <c r="F728" s="148" t="s">
        <v>1757</v>
      </c>
      <c r="G728" s="161">
        <v>1154203</v>
      </c>
      <c r="H728" s="161">
        <v>920000</v>
      </c>
      <c r="I728" s="125">
        <f>Table13[[#This Row],[Publish Rate]]-Table13[[#This Row],[Offering Corporate Rate 2026]]</f>
        <v>234203</v>
      </c>
      <c r="J728" s="76" t="str">
        <f>IF(Table13[[#This Row],[Nilai Selisih]]&gt;100000,"Recommend","Revise")</f>
        <v>Recommend</v>
      </c>
      <c r="K728" s="17" t="s">
        <v>3</v>
      </c>
      <c r="L728" s="147" t="s">
        <v>1663</v>
      </c>
      <c r="M728" s="130" t="s">
        <v>3</v>
      </c>
    </row>
    <row r="729" spans="1:13" ht="14" customHeight="1" x14ac:dyDescent="0.3">
      <c r="A729" s="90">
        <v>2</v>
      </c>
      <c r="B729" s="9" t="s">
        <v>0</v>
      </c>
      <c r="C729" s="159" t="s">
        <v>1610</v>
      </c>
      <c r="D729" s="159" t="s">
        <v>724</v>
      </c>
      <c r="E729" s="162" t="s">
        <v>1758</v>
      </c>
      <c r="F729" s="163" t="s">
        <v>1759</v>
      </c>
      <c r="G729" s="161">
        <v>1115705</v>
      </c>
      <c r="H729" s="161">
        <v>810000</v>
      </c>
      <c r="I729" s="161">
        <f>Table13[[#This Row],[Publish Rate]]-Table13[[#This Row],[Offering Corporate Rate 2026]]</f>
        <v>305705</v>
      </c>
      <c r="J729" s="76" t="str">
        <f>IF(Table13[[#This Row],[Nilai Selisih]]&gt;100000,"Recommend","Revise")</f>
        <v>Recommend</v>
      </c>
      <c r="K729" s="17" t="s">
        <v>3</v>
      </c>
      <c r="L729" s="164" t="s">
        <v>1657</v>
      </c>
      <c r="M729" s="130" t="s">
        <v>3</v>
      </c>
    </row>
    <row r="730" spans="1:13" ht="14" customHeight="1" x14ac:dyDescent="0.3">
      <c r="A730" s="90">
        <v>2</v>
      </c>
      <c r="B730" s="9" t="s">
        <v>0</v>
      </c>
      <c r="C730" s="159" t="s">
        <v>1610</v>
      </c>
      <c r="D730" s="165" t="s">
        <v>1811</v>
      </c>
      <c r="E730" s="150" t="s">
        <v>1760</v>
      </c>
      <c r="F730" s="148" t="s">
        <v>1761</v>
      </c>
      <c r="G730" s="166">
        <v>1027026</v>
      </c>
      <c r="H730" s="161">
        <v>940000</v>
      </c>
      <c r="I730" s="161">
        <f>Table13[[#This Row],[Publish Rate]]-Table13[[#This Row],[Offering Corporate Rate 2026]]</f>
        <v>87026</v>
      </c>
      <c r="J730" s="76" t="str">
        <f>IF(Table13[[#This Row],[Nilai Selisih]]&gt;100000,"Recommend","Revise")</f>
        <v>Revise</v>
      </c>
      <c r="K730" s="17" t="s">
        <v>3</v>
      </c>
      <c r="L730" s="164" t="s">
        <v>1762</v>
      </c>
      <c r="M730" s="130" t="s">
        <v>3</v>
      </c>
    </row>
    <row r="731" spans="1:13" ht="14" customHeight="1" x14ac:dyDescent="0.3">
      <c r="A731" s="9">
        <v>2</v>
      </c>
      <c r="B731" s="9" t="s">
        <v>0</v>
      </c>
      <c r="C731" s="147" t="s">
        <v>1610</v>
      </c>
      <c r="D731" s="147" t="s">
        <v>1269</v>
      </c>
      <c r="E731" s="167" t="s">
        <v>1763</v>
      </c>
      <c r="F731" s="168" t="s">
        <v>1764</v>
      </c>
      <c r="G731" s="125">
        <v>770000</v>
      </c>
      <c r="H731" s="125">
        <v>660000</v>
      </c>
      <c r="I731" s="125">
        <f>Table13[[#This Row],[Publish Rate]]-Table13[[#This Row],[Offering Corporate Rate 2026]]</f>
        <v>110000</v>
      </c>
      <c r="J731" s="76" t="str">
        <f>IF(Table13[[#This Row],[Nilai Selisih]]&gt;100000,"Recommend","Revise")</f>
        <v>Recommend</v>
      </c>
      <c r="K731" s="17" t="s">
        <v>3</v>
      </c>
      <c r="L731" s="147" t="s">
        <v>1663</v>
      </c>
      <c r="M731" s="130" t="s">
        <v>3</v>
      </c>
    </row>
    <row r="732" spans="1:13" ht="14" customHeight="1" x14ac:dyDescent="0.3">
      <c r="A732" s="9">
        <v>2</v>
      </c>
      <c r="B732" s="9" t="s">
        <v>0</v>
      </c>
      <c r="C732" s="147" t="s">
        <v>1610</v>
      </c>
      <c r="D732" s="147" t="s">
        <v>1269</v>
      </c>
      <c r="E732" s="141" t="s">
        <v>1765</v>
      </c>
      <c r="F732" s="142" t="s">
        <v>1766</v>
      </c>
      <c r="G732" s="125">
        <v>980000</v>
      </c>
      <c r="H732" s="125">
        <v>590000</v>
      </c>
      <c r="I732" s="125">
        <f>Table13[[#This Row],[Publish Rate]]-Table13[[#This Row],[Offering Corporate Rate 2026]]</f>
        <v>390000</v>
      </c>
      <c r="J732" s="76" t="str">
        <f>IF(Table13[[#This Row],[Nilai Selisih]]&gt;100000,"Recommend","Revise")</f>
        <v>Recommend</v>
      </c>
      <c r="K732" s="17" t="s">
        <v>3</v>
      </c>
      <c r="L732" s="147" t="s">
        <v>1657</v>
      </c>
      <c r="M732" s="130" t="s">
        <v>3</v>
      </c>
    </row>
    <row r="733" spans="1:13" ht="14" customHeight="1" x14ac:dyDescent="0.3">
      <c r="A733" s="9">
        <v>2</v>
      </c>
      <c r="B733" s="9" t="s">
        <v>0</v>
      </c>
      <c r="C733" s="147" t="s">
        <v>1610</v>
      </c>
      <c r="D733" s="147" t="s">
        <v>1808</v>
      </c>
      <c r="E733" s="141" t="s">
        <v>1767</v>
      </c>
      <c r="F733" s="142" t="s">
        <v>1768</v>
      </c>
      <c r="G733" s="125">
        <v>1697850</v>
      </c>
      <c r="H733" s="125">
        <v>1317500</v>
      </c>
      <c r="I733" s="125">
        <f>Table13[[#This Row],[Publish Rate]]-Table13[[#This Row],[Offering Corporate Rate 2026]]</f>
        <v>380350</v>
      </c>
      <c r="J733" s="76" t="str">
        <f>IF(Table13[[#This Row],[Nilai Selisih]]&gt;100000,"Recommend","Revise")</f>
        <v>Recommend</v>
      </c>
      <c r="K733" s="17" t="s">
        <v>3</v>
      </c>
      <c r="L733" s="147" t="s">
        <v>1663</v>
      </c>
      <c r="M733" s="130" t="s">
        <v>3</v>
      </c>
    </row>
    <row r="734" spans="1:13" ht="14" customHeight="1" x14ac:dyDescent="0.3">
      <c r="A734" s="9">
        <v>2</v>
      </c>
      <c r="B734" s="9" t="s">
        <v>0</v>
      </c>
      <c r="C734" s="147" t="s">
        <v>1610</v>
      </c>
      <c r="D734" s="147" t="s">
        <v>1808</v>
      </c>
      <c r="E734" s="141" t="s">
        <v>1769</v>
      </c>
      <c r="F734" s="142" t="s">
        <v>1768</v>
      </c>
      <c r="G734" s="125">
        <v>1387125</v>
      </c>
      <c r="H734" s="125">
        <v>1217500</v>
      </c>
      <c r="I734" s="125">
        <f>Table13[[#This Row],[Publish Rate]]-Table13[[#This Row],[Offering Corporate Rate 2026]]</f>
        <v>169625</v>
      </c>
      <c r="J734" s="76" t="str">
        <f>IF(Table13[[#This Row],[Nilai Selisih]]&gt;100000,"Recommend","Revise")</f>
        <v>Recommend</v>
      </c>
      <c r="K734" s="17" t="s">
        <v>3</v>
      </c>
      <c r="L734" s="147" t="s">
        <v>1770</v>
      </c>
      <c r="M734" s="130" t="s">
        <v>3</v>
      </c>
    </row>
    <row r="735" spans="1:13" ht="14" customHeight="1" x14ac:dyDescent="0.3">
      <c r="A735" s="9">
        <v>2</v>
      </c>
      <c r="B735" s="9" t="s">
        <v>0</v>
      </c>
      <c r="C735" s="147" t="s">
        <v>1610</v>
      </c>
      <c r="D735" s="147" t="s">
        <v>1808</v>
      </c>
      <c r="E735" s="141" t="s">
        <v>1771</v>
      </c>
      <c r="F735" s="142" t="s">
        <v>1772</v>
      </c>
      <c r="G735" s="125">
        <v>678479</v>
      </c>
      <c r="H735" s="125">
        <v>620000</v>
      </c>
      <c r="I735" s="125">
        <f>Table13[[#This Row],[Publish Rate]]-Table13[[#This Row],[Offering Corporate Rate 2026]]</f>
        <v>58479</v>
      </c>
      <c r="J735" s="76" t="str">
        <f>IF(Table13[[#This Row],[Nilai Selisih]]&gt;100000,"Recommend","Revise")</f>
        <v>Revise</v>
      </c>
      <c r="K735" s="17" t="s">
        <v>3</v>
      </c>
      <c r="L735" s="147" t="s">
        <v>1773</v>
      </c>
      <c r="M735" s="130" t="s">
        <v>3</v>
      </c>
    </row>
    <row r="736" spans="1:13" ht="14" customHeight="1" x14ac:dyDescent="0.3">
      <c r="A736" s="9">
        <v>2</v>
      </c>
      <c r="B736" s="9" t="s">
        <v>0</v>
      </c>
      <c r="C736" s="147" t="s">
        <v>1610</v>
      </c>
      <c r="D736" s="147" t="s">
        <v>1808</v>
      </c>
      <c r="E736" s="141" t="s">
        <v>1774</v>
      </c>
      <c r="F736" s="163" t="s">
        <v>1775</v>
      </c>
      <c r="G736" s="125">
        <v>944793</v>
      </c>
      <c r="H736" s="125">
        <v>820000</v>
      </c>
      <c r="I736" s="125">
        <f>Table13[[#This Row],[Publish Rate]]-Table13[[#This Row],[Offering Corporate Rate 2026]]</f>
        <v>124793</v>
      </c>
      <c r="J736" s="76" t="str">
        <f>IF(Table13[[#This Row],[Nilai Selisih]]&gt;100000,"Recommend","Revise")</f>
        <v>Recommend</v>
      </c>
      <c r="K736" s="17" t="s">
        <v>3</v>
      </c>
      <c r="L736" s="147" t="s">
        <v>1657</v>
      </c>
      <c r="M736" s="130" t="s">
        <v>3</v>
      </c>
    </row>
    <row r="737" spans="1:13" ht="14" customHeight="1" x14ac:dyDescent="0.3">
      <c r="A737" s="90">
        <v>2</v>
      </c>
      <c r="B737" s="9" t="s">
        <v>0</v>
      </c>
      <c r="C737" s="159" t="s">
        <v>1610</v>
      </c>
      <c r="D737" s="159" t="s">
        <v>1008</v>
      </c>
      <c r="E737" s="169" t="s">
        <v>1776</v>
      </c>
      <c r="F737" s="148" t="s">
        <v>1777</v>
      </c>
      <c r="G737" s="166">
        <v>1494990</v>
      </c>
      <c r="H737" s="161">
        <v>1000000</v>
      </c>
      <c r="I737" s="161">
        <f>Table13[[#This Row],[Publish Rate]]-Table13[[#This Row],[Offering Corporate Rate 2026]]</f>
        <v>494990</v>
      </c>
      <c r="J737" s="76" t="str">
        <f>IF(Table13[[#This Row],[Nilai Selisih]]&gt;100000,"Recommend","Revise")</f>
        <v>Recommend</v>
      </c>
      <c r="K737" s="17" t="s">
        <v>3</v>
      </c>
      <c r="L737" s="159" t="s">
        <v>1635</v>
      </c>
      <c r="M737" s="130" t="s">
        <v>3</v>
      </c>
    </row>
    <row r="738" spans="1:13" ht="14" customHeight="1" x14ac:dyDescent="0.3">
      <c r="A738" s="90">
        <v>2</v>
      </c>
      <c r="B738" s="9" t="s">
        <v>0</v>
      </c>
      <c r="C738" s="159" t="s">
        <v>1610</v>
      </c>
      <c r="D738" s="165" t="s">
        <v>1812</v>
      </c>
      <c r="E738" s="170" t="s">
        <v>1778</v>
      </c>
      <c r="F738" s="148" t="s">
        <v>1779</v>
      </c>
      <c r="G738" s="166">
        <v>574000</v>
      </c>
      <c r="H738" s="161">
        <v>484000</v>
      </c>
      <c r="I738" s="161">
        <f>Table13[[#This Row],[Publish Rate]]-Table13[[#This Row],[Offering Corporate Rate 2026]]</f>
        <v>90000</v>
      </c>
      <c r="J738" s="76" t="str">
        <f>IF(Table13[[#This Row],[Nilai Selisih]]&gt;100000,"Recommend","Revise")</f>
        <v>Revise</v>
      </c>
      <c r="K738" s="17" t="s">
        <v>3</v>
      </c>
      <c r="L738" s="159" t="s">
        <v>1780</v>
      </c>
      <c r="M738" s="130" t="s">
        <v>3</v>
      </c>
    </row>
    <row r="739" spans="1:13" ht="14" customHeight="1" x14ac:dyDescent="0.3">
      <c r="A739" s="9">
        <v>2</v>
      </c>
      <c r="B739" s="9" t="s">
        <v>0</v>
      </c>
      <c r="C739" s="147" t="s">
        <v>1610</v>
      </c>
      <c r="D739" s="147" t="s">
        <v>30</v>
      </c>
      <c r="E739" s="171" t="s">
        <v>1781</v>
      </c>
      <c r="F739" s="168" t="s">
        <v>1782</v>
      </c>
      <c r="G739" s="125">
        <v>1480000</v>
      </c>
      <c r="H739" s="125">
        <v>900000</v>
      </c>
      <c r="I739" s="125">
        <f>Table13[[#This Row],[Publish Rate]]-Table13[[#This Row],[Offering Corporate Rate 2026]]</f>
        <v>580000</v>
      </c>
      <c r="J739" s="17" t="str">
        <f>IF(Table13[[#This Row],[Nilai Selisih]]&gt;100000,"Recommend","Revise")</f>
        <v>Recommend</v>
      </c>
      <c r="K739" s="17" t="s">
        <v>3</v>
      </c>
      <c r="L739" s="48" t="s">
        <v>1783</v>
      </c>
      <c r="M739" s="130" t="s">
        <v>3</v>
      </c>
    </row>
    <row r="740" spans="1:13" ht="14" customHeight="1" x14ac:dyDescent="0.3">
      <c r="A740" s="9">
        <v>3</v>
      </c>
      <c r="B740" s="9" t="s">
        <v>1823</v>
      </c>
      <c r="C740" s="10" t="s">
        <v>7</v>
      </c>
      <c r="D740" s="10" t="s">
        <v>1268</v>
      </c>
      <c r="E740" s="172" t="s">
        <v>1784</v>
      </c>
      <c r="F740" s="173" t="s">
        <v>1785</v>
      </c>
      <c r="G740" s="49">
        <v>1669278</v>
      </c>
      <c r="H740" s="16">
        <v>928000</v>
      </c>
      <c r="I740" s="16">
        <f>Table13[[#This Row],[Publish Rate]]-Table13[[#This Row],[Offering Corporate Rate 2026]]</f>
        <v>741278</v>
      </c>
      <c r="J740" s="17" t="str">
        <f>IF(Table13[[#This Row],[Nilai Selisih]]&gt;100000,"Recommend","Revise")</f>
        <v>Recommend</v>
      </c>
      <c r="K740" s="10" t="s">
        <v>29</v>
      </c>
      <c r="L740" s="10" t="s">
        <v>1786</v>
      </c>
      <c r="M740" s="18" t="s">
        <v>3</v>
      </c>
    </row>
    <row r="741" spans="1:13" ht="14" customHeight="1" x14ac:dyDescent="0.3">
      <c r="A741" s="9">
        <v>3</v>
      </c>
      <c r="B741" s="9" t="s">
        <v>0</v>
      </c>
      <c r="C741" s="10" t="s">
        <v>1787</v>
      </c>
      <c r="D741" s="10" t="s">
        <v>1808</v>
      </c>
      <c r="E741" s="147" t="s">
        <v>1788</v>
      </c>
      <c r="F741" s="173" t="s">
        <v>1789</v>
      </c>
      <c r="G741" s="49">
        <v>2040363</v>
      </c>
      <c r="H741" s="16">
        <v>1700000</v>
      </c>
      <c r="I741" s="16">
        <f>Table13[[#This Row],[Publish Rate]]-Table13[[#This Row],[Offering Corporate Rate 2026]]</f>
        <v>340363</v>
      </c>
      <c r="J741" s="17" t="str">
        <f>IF(Table13[[#This Row],[Nilai Selisih]]&gt;100000,"Recommend","Revise")</f>
        <v>Recommend</v>
      </c>
      <c r="K741" s="10" t="s">
        <v>29</v>
      </c>
      <c r="L741" s="10" t="s">
        <v>1790</v>
      </c>
      <c r="M741" s="18" t="s">
        <v>3</v>
      </c>
    </row>
    <row r="742" spans="1:13" ht="14" customHeight="1" x14ac:dyDescent="0.3">
      <c r="A742" s="90">
        <v>3</v>
      </c>
      <c r="B742" s="9" t="s">
        <v>1823</v>
      </c>
      <c r="C742" s="30" t="s">
        <v>7</v>
      </c>
      <c r="D742" s="92" t="s">
        <v>724</v>
      </c>
      <c r="E742" s="174" t="s">
        <v>1791</v>
      </c>
      <c r="F742" s="175" t="s">
        <v>1792</v>
      </c>
      <c r="G742" s="61">
        <v>2580000</v>
      </c>
      <c r="H742" s="52">
        <v>1680000</v>
      </c>
      <c r="I742" s="52">
        <f>Table13[[#This Row],[Publish Rate]]-Table13[[#This Row],[Offering Corporate Rate 2026]]</f>
        <v>900000</v>
      </c>
      <c r="J742" s="17" t="str">
        <f>IF(Table13[[#This Row],[Nilai Selisih]]&gt;100000,"Recommend","Revise")</f>
        <v>Recommend</v>
      </c>
      <c r="K742" s="17" t="s">
        <v>3</v>
      </c>
      <c r="L742" s="30" t="s">
        <v>1793</v>
      </c>
      <c r="M742" s="18" t="s">
        <v>3</v>
      </c>
    </row>
    <row r="743" spans="1:13" ht="14" customHeight="1" x14ac:dyDescent="0.3">
      <c r="A743" s="90">
        <v>3</v>
      </c>
      <c r="B743" s="9" t="s">
        <v>1823</v>
      </c>
      <c r="C743" s="30" t="s">
        <v>7</v>
      </c>
      <c r="D743" s="92" t="s">
        <v>1808</v>
      </c>
      <c r="E743" s="176" t="s">
        <v>1794</v>
      </c>
      <c r="F743" s="175" t="s">
        <v>1795</v>
      </c>
      <c r="G743" s="56">
        <v>3463269</v>
      </c>
      <c r="H743" s="52">
        <v>1996500</v>
      </c>
      <c r="I743" s="52">
        <f>Table13[[#This Row],[Publish Rate]]-Table13[[#This Row],[Offering Corporate Rate 2026]]</f>
        <v>1466769</v>
      </c>
      <c r="J743" s="10" t="str">
        <f>IF(Table13[[#This Row],[Nilai Selisih]]&gt;100000,"Recommend","Revise")</f>
        <v>Recommend</v>
      </c>
      <c r="K743" s="17" t="s">
        <v>3</v>
      </c>
      <c r="L743" s="30" t="s">
        <v>1796</v>
      </c>
      <c r="M743" s="18" t="s">
        <v>3</v>
      </c>
    </row>
    <row r="744" spans="1:13" ht="14" customHeight="1" x14ac:dyDescent="0.3">
      <c r="A744" s="9">
        <v>4</v>
      </c>
      <c r="B744" s="9" t="s">
        <v>0</v>
      </c>
      <c r="C744" s="11" t="s">
        <v>1797</v>
      </c>
      <c r="D744" s="64" t="s">
        <v>1808</v>
      </c>
      <c r="E744" s="177" t="s">
        <v>1798</v>
      </c>
      <c r="F744" s="127" t="s">
        <v>1799</v>
      </c>
      <c r="G744" s="14">
        <v>855470</v>
      </c>
      <c r="H744" s="16">
        <v>750000</v>
      </c>
      <c r="I744" s="16">
        <f>Table13[[#This Row],[Publish Rate]]-Table13[[#This Row],[Offering Corporate Rate 2026]]</f>
        <v>105470</v>
      </c>
      <c r="J744" s="17" t="str">
        <f>IF(Table13[[#This Row],[Nilai Selisih]]&gt;20,"Recommend","Revise")</f>
        <v>Recommend</v>
      </c>
      <c r="K744" s="17" t="s">
        <v>3</v>
      </c>
      <c r="L744" s="10" t="s">
        <v>1800</v>
      </c>
      <c r="M744" s="18" t="s">
        <v>3</v>
      </c>
    </row>
    <row r="745" spans="1:13" ht="14" customHeight="1" x14ac:dyDescent="0.3">
      <c r="A745" s="90">
        <v>4</v>
      </c>
      <c r="B745" s="9" t="s">
        <v>1823</v>
      </c>
      <c r="C745" s="30" t="s">
        <v>7</v>
      </c>
      <c r="D745" s="92" t="s">
        <v>724</v>
      </c>
      <c r="E745" s="174" t="s">
        <v>1801</v>
      </c>
      <c r="F745" s="178" t="s">
        <v>1802</v>
      </c>
      <c r="G745" s="166">
        <v>1300000</v>
      </c>
      <c r="H745" s="161">
        <v>1200000</v>
      </c>
      <c r="I745" s="52">
        <f>Table13[[#This Row],[Publish Rate]]-Table13[[#This Row],[Offering Corporate Rate 2026]]</f>
        <v>100000</v>
      </c>
      <c r="J745" s="85" t="str">
        <f>IF(Table13[[#This Row],[Nilai Selisih]]&gt;100000,"Recommend","Revise")</f>
        <v>Revise</v>
      </c>
      <c r="K745" s="17" t="s">
        <v>3</v>
      </c>
      <c r="L745" s="30" t="s">
        <v>1803</v>
      </c>
      <c r="M745" s="18" t="s">
        <v>3</v>
      </c>
    </row>
  </sheetData>
  <conditionalFormatting sqref="I173:I194 I2:I16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7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K2:K745" xr:uid="{42953136-C5D2-45B0-B474-64148262403B}">
      <formula1>"Revisi Kontrak, Sign Kontrak, Proses I-Vendor, Done"</formula1>
    </dataValidation>
  </dataValidations>
  <hyperlinks>
    <hyperlink ref="F208" r:id="rId1" xr:uid="{001BDDE6-0EC4-48A6-B5A7-CE669EAEA516}"/>
    <hyperlink ref="F3:F4" r:id="rId2" display="cluster-secsales.balikpapan@jatrahotels.com" xr:uid="{31E5B2EC-6505-46BC-88A5-9BA56CA11E9A}"/>
    <hyperlink ref="F211" r:id="rId3" xr:uid="{84EF0D3C-EF0D-419E-962D-31B1C3226534}"/>
    <hyperlink ref="F212" r:id="rId4" xr:uid="{9A572EFB-9BD3-4680-A6BB-492BD5E4C7E7}"/>
    <hyperlink ref="F65" r:id="rId5" xr:uid="{B7F00004-73B5-4A6D-BB8F-253C0AF2C79C}"/>
    <hyperlink ref="F518" r:id="rId6" xr:uid="{8E0C820B-2CE8-4218-B22C-7E4C42E6CE71}"/>
    <hyperlink ref="F213" r:id="rId7" xr:uid="{EAA77BAF-CBBD-4107-83A1-407FBCB8753A}"/>
    <hyperlink ref="F214" r:id="rId8" xr:uid="{87B1675C-460F-4011-8597-50BB72F7F76C}"/>
    <hyperlink ref="F215" r:id="rId9" xr:uid="{C9868C9D-0716-4904-9E3E-2486939EEB85}"/>
    <hyperlink ref="F216" r:id="rId10" xr:uid="{D262CF61-091F-440E-B7AA-8A1B361A3F23}"/>
    <hyperlink ref="F217" r:id="rId11" xr:uid="{9716C6D4-A579-4358-B1EF-8B0735257C23}"/>
    <hyperlink ref="F218" r:id="rId12" xr:uid="{7157783A-2FEB-4923-9182-E48868CF7778}"/>
    <hyperlink ref="F219" r:id="rId13" xr:uid="{89C53ED6-0CF1-43F7-AB68-5C21F40E3A44}"/>
    <hyperlink ref="F220" r:id="rId14" xr:uid="{ECE2C368-274D-47B3-97B2-1083D0AE527A}"/>
    <hyperlink ref="F221" r:id="rId15" xr:uid="{FCCDA570-7E8A-43B1-8397-55BDD862B038}"/>
    <hyperlink ref="F222" r:id="rId16" xr:uid="{CDD42251-58C7-42E8-9372-7302C6F96F9E}"/>
    <hyperlink ref="F223" r:id="rId17" xr:uid="{BA81E774-5C24-4B82-9F60-690078882C8A}"/>
    <hyperlink ref="F224" r:id="rId18" xr:uid="{30B4D1F3-B0A0-45E9-9A21-8ED696BE0157}"/>
    <hyperlink ref="F225" r:id="rId19" xr:uid="{10B308D2-3572-49C6-B07B-F9234659FB41}"/>
    <hyperlink ref="F226" r:id="rId20" xr:uid="{B3234F95-5086-4094-BDE1-310F7BDA0EDB}"/>
    <hyperlink ref="F227" r:id="rId21" xr:uid="{8DA2FEB5-A0A9-44FE-B664-11438F6700C4}"/>
    <hyperlink ref="F228" r:id="rId22" xr:uid="{14943283-9AA2-4716-A53E-01DE29200A3F}"/>
    <hyperlink ref="F229" r:id="rId23" xr:uid="{E5B2436D-9347-446B-BCAA-BF8258737180}"/>
    <hyperlink ref="F230" r:id="rId24" xr:uid="{4FF6A1E9-51BB-4E51-B0A5-3C9F55B14D33}"/>
    <hyperlink ref="F231" r:id="rId25" xr:uid="{989D9EE2-D5F7-4B22-A278-6E7F397B74CF}"/>
    <hyperlink ref="F232" r:id="rId26" xr:uid="{0BDBB369-6229-4EEB-902D-399793038E5D}"/>
    <hyperlink ref="F233" r:id="rId27" xr:uid="{77709122-3E85-4E4C-AF96-D2E96B8A4516}"/>
    <hyperlink ref="F234" r:id="rId28" xr:uid="{7B73F33D-37AC-4269-95EF-64D447E577A0}"/>
    <hyperlink ref="F235" r:id="rId29" xr:uid="{8F5DE4C7-54AC-4237-B879-BC3C3CBB2E8B}"/>
    <hyperlink ref="F236" r:id="rId30" xr:uid="{D33F7E02-0AD0-4194-816C-075FB4D1CB2C}"/>
    <hyperlink ref="F237" r:id="rId31" xr:uid="{EBA3AF61-5A74-4BFB-9633-48B05FDE64F1}"/>
    <hyperlink ref="F238" r:id="rId32" xr:uid="{4DA17574-AD75-478F-A2E8-DCEFF1C6AD7C}"/>
    <hyperlink ref="F239" r:id="rId33" xr:uid="{849A6568-D67C-4B28-8E38-F1FB5362E77D}"/>
    <hyperlink ref="F240" r:id="rId34" xr:uid="{7997DF22-BC84-4C0E-9C95-0E228D18AADE}"/>
    <hyperlink ref="F241" r:id="rId35" xr:uid="{8E573903-7509-4018-BAA4-F80366BCE4BB}"/>
    <hyperlink ref="F242" r:id="rId36" xr:uid="{E1F6D47E-6A8E-4074-A05D-24D8002BE10E}"/>
    <hyperlink ref="F243" r:id="rId37" xr:uid="{0F55ED5B-226B-4C31-9359-C8E9C44334CA}"/>
    <hyperlink ref="F244" r:id="rId38" xr:uid="{E46CB06F-A7F4-41AC-B684-4E716A4E7813}"/>
    <hyperlink ref="F245" r:id="rId39" xr:uid="{DC7ECF2B-7DA3-491A-A5D2-684D97068162}"/>
    <hyperlink ref="F246" r:id="rId40" xr:uid="{D66785FB-55FA-4A42-A267-01F7D9299234}"/>
    <hyperlink ref="F247" r:id="rId41" xr:uid="{1BDC9E04-DB46-4513-B2F5-2F5A4D0122D9}"/>
    <hyperlink ref="F248" r:id="rId42" xr:uid="{64CEA865-647B-4412-8C45-2F0D62079507}"/>
    <hyperlink ref="F249" r:id="rId43" xr:uid="{A90435B0-6A96-4B77-B442-FC76B38C07B6}"/>
    <hyperlink ref="F250" r:id="rId44" xr:uid="{E0ACB1C2-4824-4FF2-8EEB-79CD5F4C8AF4}"/>
    <hyperlink ref="F251" r:id="rId45" xr:uid="{2F1D4AF1-2A46-4F84-9EA5-55948A7ABB0A}"/>
    <hyperlink ref="F252" r:id="rId46" xr:uid="{E62437C4-0FB4-44AE-BB07-B47A6C2079FC}"/>
    <hyperlink ref="F253" r:id="rId47" xr:uid="{50358271-B0E7-4B82-BC71-3545E966EFBD}"/>
    <hyperlink ref="F254" r:id="rId48" xr:uid="{40D55399-8E70-48E1-8FD6-8BB3C849D9C2}"/>
    <hyperlink ref="F255" r:id="rId49" xr:uid="{FE3C76D2-27EA-4442-BC60-64041629D6C0}"/>
    <hyperlink ref="F256" r:id="rId50" xr:uid="{25C277B1-2475-496A-A819-1840FABDA2CE}"/>
    <hyperlink ref="F257" r:id="rId51" xr:uid="{A144CB07-A1F2-4267-AE55-3364CD7AB946}"/>
    <hyperlink ref="F258" r:id="rId52" xr:uid="{05D07047-3C65-449C-A2D4-1B7E4C671D66}"/>
    <hyperlink ref="F259" r:id="rId53" xr:uid="{106DCABF-CD4D-4238-96E6-0ECE368F16A5}"/>
    <hyperlink ref="F260" r:id="rId54" xr:uid="{41095F71-15A4-4C90-B73F-5F0AC0839C71}"/>
    <hyperlink ref="F261" r:id="rId55" xr:uid="{C5A0E02B-328F-4A52-837D-720CA865269D}"/>
    <hyperlink ref="F262" r:id="rId56" xr:uid="{E982BFD9-B7A0-412C-AAEB-3D8DC9C9A347}"/>
    <hyperlink ref="F263" r:id="rId57" xr:uid="{DB7DDEDD-3B49-4E90-BC25-2D6F35DD5ED4}"/>
    <hyperlink ref="F264" r:id="rId58" xr:uid="{CC5BD3AC-D75B-43AF-B149-1020E00F7681}"/>
    <hyperlink ref="F265" r:id="rId59" xr:uid="{9D5BAE29-218B-4731-A58B-FA6D21A1ACA1}"/>
    <hyperlink ref="F266" r:id="rId60" xr:uid="{B3F3E703-24BE-4828-93DB-5E41E7D77236}"/>
    <hyperlink ref="F267" r:id="rId61" xr:uid="{933E8C51-0C96-4D0B-8A2E-B0843207AA08}"/>
    <hyperlink ref="F268" r:id="rId62" xr:uid="{A89C56EF-6F3B-4708-8C99-0F7522A71F9E}"/>
    <hyperlink ref="F269" r:id="rId63" xr:uid="{5E70949F-D419-4DF4-91DE-2E76274B5B16}"/>
    <hyperlink ref="F270" r:id="rId64" xr:uid="{3065CF2D-0E51-48D6-860C-C0ACA0D553C2}"/>
    <hyperlink ref="F271" r:id="rId65" xr:uid="{A6BBD103-288A-4C67-904D-15665BA8F2CB}"/>
    <hyperlink ref="F272" r:id="rId66" xr:uid="{167500C3-95B3-4222-BDE2-B8A9AAF4E16F}"/>
    <hyperlink ref="F273" r:id="rId67" xr:uid="{86E30172-A9CD-435C-B3D0-F62FF52C6AF7}"/>
    <hyperlink ref="F274" r:id="rId68" xr:uid="{55476EB7-6BBC-409A-B5C0-F258A5D4CFFB}"/>
    <hyperlink ref="F275" r:id="rId69" xr:uid="{F5250B3C-583A-49AD-8955-4F09060DCE1C}"/>
    <hyperlink ref="F276" r:id="rId70" xr:uid="{2242093B-9004-43E8-9344-C3BD7A999FBB}"/>
    <hyperlink ref="F277" r:id="rId71" xr:uid="{24FC51B1-F7ED-4619-ABFB-56F424814FAE}"/>
    <hyperlink ref="F278" r:id="rId72" xr:uid="{28ED1309-3850-42FB-8E25-191AF1BB67A0}"/>
    <hyperlink ref="F279" r:id="rId73" xr:uid="{23A0B30B-E631-4B2C-8583-1D6F44B43134}"/>
    <hyperlink ref="F281" r:id="rId74" xr:uid="{A6F96DF4-F828-450E-BE50-00244C965F58}"/>
    <hyperlink ref="F280" r:id="rId75" xr:uid="{478577AC-073E-4F74-982C-EE45B46E3D18}"/>
    <hyperlink ref="F174" r:id="rId76" xr:uid="{FB192821-4074-4944-9819-5AE0EADC44BB}"/>
    <hyperlink ref="F428" r:id="rId77" xr:uid="{8187062F-95E2-4215-ADC6-A40B48489E26}"/>
    <hyperlink ref="F175" r:id="rId78" xr:uid="{E380E928-3260-4A1D-AF47-628BF674C1D8}"/>
    <hyperlink ref="F522" r:id="rId79" xr:uid="{ABC35920-889E-43BF-815B-056135BC92AB}"/>
    <hyperlink ref="F2" r:id="rId80" xr:uid="{060B8137-4EEB-4028-AD95-CBDA00919F1F}"/>
    <hyperlink ref="F176" r:id="rId81" xr:uid="{44582413-60C2-430C-8263-2F0F47D2F495}"/>
    <hyperlink ref="F523" r:id="rId82" xr:uid="{35E94D3A-0BFA-4670-946B-BC28D9FE774C}"/>
    <hyperlink ref="F517" r:id="rId83" xr:uid="{81DB3939-5137-4079-A01C-04A39DD60119}"/>
    <hyperlink ref="F525" r:id="rId84" xr:uid="{4F1A2EBC-D4E9-4F0A-8AE6-DA1D03FB6AFA}"/>
    <hyperlink ref="F527" r:id="rId85" xr:uid="{711551E0-81C9-45FF-BBFA-1A8A41FB1B04}"/>
    <hyperlink ref="F526" r:id="rId86" xr:uid="{84309629-BA6D-4A87-A810-9FAD3FBF3A3A}"/>
    <hyperlink ref="F514" r:id="rId87" xr:uid="{46B04F23-DD78-45B6-882A-656B97CF0F47}"/>
    <hyperlink ref="F528" r:id="rId88" xr:uid="{4A57716B-6A9E-4E06-8EC8-EDFC1A9E45D5}"/>
    <hyperlink ref="F529" r:id="rId89" xr:uid="{9AE400A4-A5C5-4F28-B204-0EF2361AC802}"/>
    <hyperlink ref="F532" r:id="rId90" xr:uid="{9AA0CF8F-CCB5-4C22-A382-7EB163EBE5AD}"/>
    <hyperlink ref="F153" r:id="rId91" xr:uid="{440575C8-E594-4642-B2E9-A69AE7ECC365}"/>
    <hyperlink ref="F515" r:id="rId92" xr:uid="{7A63CD0E-6C9A-4F20-A34D-29B83A9621CD}"/>
    <hyperlink ref="F516" r:id="rId93" xr:uid="{AF97FA78-4E2A-4F3E-9C7A-10B875E11A64}"/>
    <hyperlink ref="F207" r:id="rId94" xr:uid="{E65290B3-7ED5-478D-B6D2-43DA870B02F7}"/>
    <hyperlink ref="F76" r:id="rId95" xr:uid="{D508B422-0442-4D45-94B7-056E6E1A872D}"/>
    <hyperlink ref="F77" r:id="rId96" xr:uid="{0E73FF02-A07A-41F3-A5E1-749CE7EE9270}"/>
    <hyperlink ref="F78" r:id="rId97" xr:uid="{A8DB9722-15B0-46D8-B76C-547CEF769C48}"/>
    <hyperlink ref="F79" r:id="rId98" xr:uid="{C58222BA-42EA-4D1A-8A38-A10922B56798}"/>
    <hyperlink ref="F80" r:id="rId99" xr:uid="{D4CFBC1A-95EF-48E4-834C-96427B7AA957}"/>
    <hyperlink ref="F81" r:id="rId100" xr:uid="{BB8E1277-3594-46BF-96EC-2B1D25AE8222}"/>
    <hyperlink ref="F82" r:id="rId101" xr:uid="{2FC45581-0ECC-482F-8B4A-FF566051FEF3}"/>
    <hyperlink ref="F83" r:id="rId102" xr:uid="{61CA6325-1E9C-4AAB-87D1-569500959695}"/>
    <hyperlink ref="F84" r:id="rId103" xr:uid="{2B20973B-8DBE-41FA-B3D7-61A6B9C6098C}"/>
    <hyperlink ref="F85" r:id="rId104" xr:uid="{4EF012FF-9F16-4200-8726-EFC3CAB155B2}"/>
    <hyperlink ref="F86" r:id="rId105" xr:uid="{EF301770-C11C-447D-9928-6CDF71AA3D9E}"/>
    <hyperlink ref="F87" r:id="rId106" xr:uid="{D2A7338E-CC91-4C39-B0A4-342EE2447D39}"/>
    <hyperlink ref="F88" r:id="rId107" xr:uid="{517CA6FB-E283-4394-9498-4224B8751D77}"/>
    <hyperlink ref="F89" r:id="rId108" xr:uid="{13FFE77F-AA35-4A48-A6F8-BDC9D991F43B}"/>
    <hyperlink ref="F90" r:id="rId109" xr:uid="{C3C2246F-9E13-47C2-BCED-DD6A0D1F8613}"/>
    <hyperlink ref="F91" r:id="rId110" xr:uid="{C1CF93AF-6287-4BEC-95F6-2568BA58F6B1}"/>
    <hyperlink ref="F92" r:id="rId111" xr:uid="{25EB3543-158D-4B5D-9D86-20A34FF42646}"/>
    <hyperlink ref="F93" r:id="rId112" xr:uid="{2C108C11-92AB-4348-A9BF-CB98FE1D3080}"/>
    <hyperlink ref="F94" r:id="rId113" xr:uid="{FCF3A83C-43B7-48ED-B800-0A2EB3CEBEA9}"/>
    <hyperlink ref="F100" r:id="rId114" xr:uid="{2CA49F62-1CA4-423F-B20B-D40FED4DDFAE}"/>
    <hyperlink ref="F95" r:id="rId115" xr:uid="{8F47D39B-BCAE-437F-B8E8-96C176387EDB}"/>
    <hyperlink ref="F154" r:id="rId116" xr:uid="{D2066688-889A-461F-BEC0-9F2E3093E47A}"/>
    <hyperlink ref="F101" r:id="rId117" xr:uid="{7AE0725B-28E7-44D1-923B-12799050F5D0}"/>
    <hyperlink ref="F96" r:id="rId118" xr:uid="{1BF4812C-646C-4CEF-AD7D-20EB769889E8}"/>
    <hyperlink ref="F97" r:id="rId119" xr:uid="{B17B006C-735C-4793-82BA-C9A25F92C69B}"/>
    <hyperlink ref="F98" r:id="rId120" xr:uid="{AAD2049C-C067-4C31-8A23-A81B2F9CA68F}"/>
    <hyperlink ref="F102" r:id="rId121" xr:uid="{D879812F-8498-4BF1-88C1-943C84B176E2}"/>
    <hyperlink ref="F99" r:id="rId122" xr:uid="{C4BA530F-9669-4034-89D1-AEDBB67F823F}"/>
    <hyperlink ref="F103" r:id="rId123" xr:uid="{FFA27D82-6405-43D4-9AA9-3635749BC946}"/>
    <hyperlink ref="F104" r:id="rId124" xr:uid="{0AAE99C6-1179-4DFB-8411-AD8FA9B7D237}"/>
    <hyperlink ref="F106" r:id="rId125" xr:uid="{08BB93BE-7449-4D6B-9A1A-76BA27100E52}"/>
    <hyperlink ref="F105" r:id="rId126" xr:uid="{4A31596F-8661-44F3-9C64-555353E769BA}"/>
    <hyperlink ref="F107" r:id="rId127" xr:uid="{247B306E-EBFA-48AC-8347-90F59674757C}"/>
    <hyperlink ref="F108" r:id="rId128" xr:uid="{683B3464-0D0F-46B9-898B-05B4B258AB53}"/>
    <hyperlink ref="F109" r:id="rId129" xr:uid="{5D5031A1-0106-44BD-A753-9BEA667E6B96}"/>
    <hyperlink ref="F110" r:id="rId130" xr:uid="{D00EB88F-287E-4541-9252-54ED014CFF8A}"/>
    <hyperlink ref="F111" r:id="rId131" xr:uid="{B39BFFDE-2427-4DE2-A332-7C24A2E038BF}"/>
    <hyperlink ref="F155" r:id="rId132" xr:uid="{59971860-7171-4394-9825-299C9E30F5C3}"/>
    <hyperlink ref="F112" r:id="rId133" xr:uid="{F0057FFE-1ACF-4A09-8BE5-6FA89FBC2AC3}"/>
    <hyperlink ref="F113" r:id="rId134" xr:uid="{65F06307-E7E3-4695-8501-CF5AF8F1D655}"/>
    <hyperlink ref="F114" r:id="rId135" xr:uid="{D2919192-C283-4A56-BCA3-01B6B8AA8CEA}"/>
    <hyperlink ref="F115" r:id="rId136" xr:uid="{AE924715-F681-47B5-A2DE-D594E5AA0566}"/>
    <hyperlink ref="F116" r:id="rId137" xr:uid="{A715EE66-8463-45E0-861C-DEC5A4845F15}"/>
    <hyperlink ref="F117" r:id="rId138" xr:uid="{FD560611-9097-4121-B701-BCB8553B65A6}"/>
    <hyperlink ref="F118" r:id="rId139" xr:uid="{CC5E3971-EBE3-4165-820E-940A0D9C68B6}"/>
    <hyperlink ref="F119" r:id="rId140" xr:uid="{423A0DE1-42BF-41DD-90C5-E2A12BFB4011}"/>
    <hyperlink ref="F120" r:id="rId141" xr:uid="{16C3F242-0B5E-48DE-BA0D-DCB5C70C7A32}"/>
    <hyperlink ref="F122" r:id="rId142" xr:uid="{DA29F57D-DAE6-4ACD-852F-0BBC43099A7F}"/>
    <hyperlink ref="F123" r:id="rId143" xr:uid="{1EE2BA9C-F065-4675-88C1-0BA00F8308FD}"/>
    <hyperlink ref="F124" r:id="rId144" xr:uid="{FA93EC2C-BAFE-499C-958F-AAC33425E525}"/>
    <hyperlink ref="F125" r:id="rId145" xr:uid="{15ABF648-EFB4-43F0-89BE-5A9BE9787A38}"/>
    <hyperlink ref="F126" r:id="rId146" xr:uid="{D2EC0BF7-03FF-454F-B982-8987629575E6}"/>
    <hyperlink ref="F127" r:id="rId147" xr:uid="{3416B3D2-7EE7-4C25-A4EE-EDF4E1BDDDF1}"/>
    <hyperlink ref="F128" r:id="rId148" xr:uid="{D8EDF626-B73D-42B1-9A1C-CBE4D5683B46}"/>
    <hyperlink ref="F129" r:id="rId149" xr:uid="{60EDF936-DC9B-4381-9DFC-58F0ACC1DE5C}"/>
    <hyperlink ref="F130" r:id="rId150" xr:uid="{F31F4B68-2EB5-4EF5-B5B8-8A524A520C9A}"/>
    <hyperlink ref="F131" r:id="rId151" xr:uid="{013EEAE7-6105-41D4-9FE1-27F108E7E3B8}"/>
    <hyperlink ref="F132" r:id="rId152" xr:uid="{F93A6966-868C-44BF-B054-39C3EA3D9AE5}"/>
    <hyperlink ref="F133" r:id="rId153" xr:uid="{127FD4B7-D3CA-48D6-A3D2-41C4ED3C8591}"/>
    <hyperlink ref="F134" r:id="rId154" xr:uid="{11540C98-6A8F-4224-98C4-F2C83F2E0348}"/>
    <hyperlink ref="F156" r:id="rId155" xr:uid="{EA358E62-F926-44A1-A1C7-8FA9EFD04968}"/>
    <hyperlink ref="F135" r:id="rId156" xr:uid="{96673A5F-E886-4E5F-92AF-96C5FD617D32}"/>
    <hyperlink ref="F136" r:id="rId157" xr:uid="{E92141A0-2671-4384-9F94-32B713FDB1F2}"/>
    <hyperlink ref="F137" r:id="rId158" xr:uid="{CE10F533-C3F7-4F7A-9F2B-2BE339701B6B}"/>
    <hyperlink ref="F138" r:id="rId159" xr:uid="{7C4EFD67-1771-456A-B597-EFC07AFF264D}"/>
    <hyperlink ref="F139" r:id="rId160" xr:uid="{A79DBF6E-D4AC-4357-994F-0F2571C090F8}"/>
    <hyperlink ref="F140" r:id="rId161" xr:uid="{24CC072B-1BA8-459B-A83B-4786DF822851}"/>
    <hyperlink ref="F141" r:id="rId162" xr:uid="{235F8AD4-EFAD-4F01-AEAB-C10B3616CEC8}"/>
    <hyperlink ref="F143" r:id="rId163" xr:uid="{AE17728E-33E6-4E8B-9AD4-04F937E52FFB}"/>
    <hyperlink ref="F144" r:id="rId164" xr:uid="{98682F64-137E-40FE-9A16-0DBB8AE84344}"/>
    <hyperlink ref="F145" r:id="rId165" xr:uid="{C2452D50-9DAA-466A-9EB7-8049293CBFE8}"/>
    <hyperlink ref="F146" r:id="rId166" xr:uid="{8AED72ED-E8D4-4AA7-8096-2C06F62F415D}"/>
    <hyperlink ref="F147" r:id="rId167" xr:uid="{A0A36066-D4A5-4989-9682-21FDAB7BE394}"/>
    <hyperlink ref="F148" r:id="rId168" xr:uid="{4DE38C30-CF6F-49E9-BC63-B8A0F85FE3C3}"/>
    <hyperlink ref="F149" r:id="rId169" xr:uid="{2A71C77C-C492-411D-BD48-D9BC042BF8AC}"/>
    <hyperlink ref="F150" r:id="rId170" xr:uid="{230DD118-15F9-4E8C-8DC4-29A5E982FFAD}"/>
    <hyperlink ref="F151" r:id="rId171" xr:uid="{9DFF911F-CCA9-49B4-B4E7-22150DBE0C98}"/>
    <hyperlink ref="F152" r:id="rId172" xr:uid="{08F6D6B7-F0C1-4AB9-992C-64FE3113FF22}"/>
    <hyperlink ref="F157" r:id="rId173" xr:uid="{289D1BBE-CAC9-4C0A-858B-205852CCDA79}"/>
    <hyperlink ref="F158" r:id="rId174" xr:uid="{FA12BF3C-61A7-4684-AC9D-37FE65F8B274}"/>
    <hyperlink ref="F159" r:id="rId175" xr:uid="{D9A1985D-7819-4B9A-94F1-85A2242FC954}"/>
    <hyperlink ref="F160" r:id="rId176" xr:uid="{16090897-7C8E-4208-8A47-79C6C1EB5D39}"/>
    <hyperlink ref="F161" r:id="rId177" xr:uid="{681D58FC-4D91-47A6-8756-622538E99633}"/>
    <hyperlink ref="F162" r:id="rId178" xr:uid="{273DA94D-6053-4D4C-9D31-4F86F0CD3A08}"/>
    <hyperlink ref="F163" r:id="rId179" xr:uid="{613CCD0C-F498-4B8E-A9DF-8CDD8713EBCF}"/>
    <hyperlink ref="F164" r:id="rId180" xr:uid="{0B720CB3-68E7-474E-8D95-8D873B1060A2}"/>
    <hyperlink ref="F165" r:id="rId181" xr:uid="{2E0C82D8-1D01-49CD-A134-8EDAB7801219}"/>
    <hyperlink ref="F168" r:id="rId182" xr:uid="{CF8FE579-9E06-4D5C-993C-087702590267}"/>
    <hyperlink ref="F169" r:id="rId183" xr:uid="{4A7A2AEE-C7B2-4F4E-8B8B-60E46FAFB55F}"/>
    <hyperlink ref="F170" r:id="rId184" xr:uid="{F909316C-1CB1-4CF3-A253-1B5FD950CA32}"/>
    <hyperlink ref="F171" r:id="rId185" xr:uid="{7570F859-8A3C-4A1D-9ADD-553D001416C1}"/>
    <hyperlink ref="F429" r:id="rId186" xr:uid="{B0C93087-8FCB-4411-AB04-5A82D28DF912}"/>
    <hyperlink ref="F430" r:id="rId187" xr:uid="{857F6674-296B-46B7-90DC-AB4A77EA43FC}"/>
    <hyperlink ref="F431" r:id="rId188" xr:uid="{B2AFE25E-185C-4AE7-97E5-F2FEEA414302}"/>
    <hyperlink ref="F432" r:id="rId189" xr:uid="{9CB65C96-B8F3-4D24-BCDA-6EC1E0CB813A}"/>
    <hyperlink ref="F433" r:id="rId190" xr:uid="{C276649B-8DC3-48F9-A713-850F84EFD462}"/>
    <hyperlink ref="F434" r:id="rId191" xr:uid="{1EA20001-B578-4C10-9082-D5659C1C0AF7}"/>
    <hyperlink ref="F435" r:id="rId192" xr:uid="{2E3029A7-2952-4EC9-BF63-73598D2F8409}"/>
    <hyperlink ref="F436" r:id="rId193" xr:uid="{1D642747-008F-4623-8486-840373CDE8BA}"/>
    <hyperlink ref="F437" r:id="rId194" xr:uid="{8DD53B08-6D27-4F92-A3C0-F58A821394DE}"/>
    <hyperlink ref="F438" r:id="rId195" xr:uid="{6DD88007-2C19-4358-98B8-B6061016364C}"/>
    <hyperlink ref="F439" r:id="rId196" xr:uid="{DD7BD5FC-7D9E-4213-8C33-D2BC3A354A94}"/>
    <hyperlink ref="F440" r:id="rId197" xr:uid="{A00969D5-7B75-4456-B4BF-E0C802111318}"/>
    <hyperlink ref="F441" r:id="rId198" xr:uid="{DBADBE6F-92CE-4006-8C3F-6E66A441CED5}"/>
    <hyperlink ref="F442" r:id="rId199" xr:uid="{2E9B9F78-FFFE-461A-B514-24DC062826F5}"/>
    <hyperlink ref="F443" r:id="rId200" xr:uid="{E84733CF-20CE-4ABB-820E-DB756709F3C4}"/>
    <hyperlink ref="F172" r:id="rId201" xr:uid="{DE294EDA-FEDE-4B40-B957-B5DD60004294}"/>
    <hyperlink ref="F444" r:id="rId202" xr:uid="{8BDEEAE7-2654-42D2-8847-62C5A2F253B0}"/>
    <hyperlink ref="F445" r:id="rId203" xr:uid="{AF4C13A7-E221-4DF5-8918-168E4BDE81D7}"/>
    <hyperlink ref="F446" r:id="rId204" xr:uid="{D97C79FC-8D93-47B0-87D0-A3B13549895F}"/>
    <hyperlink ref="F447" r:id="rId205" xr:uid="{CF817CA1-999B-452E-B086-D696D49C6EB3}"/>
    <hyperlink ref="F448" r:id="rId206" xr:uid="{669F335B-979B-4AEB-85BD-5561F424B482}"/>
    <hyperlink ref="F449" r:id="rId207" xr:uid="{A776E13E-314D-4330-98A9-272CBC2208C1}"/>
    <hyperlink ref="F450" r:id="rId208" xr:uid="{00B95105-704A-4CB4-BB69-A27E61EBF38D}"/>
    <hyperlink ref="F451" r:id="rId209" xr:uid="{E71AA9CF-6975-49BF-A524-AAD7F3831A5D}"/>
    <hyperlink ref="F452" r:id="rId210" xr:uid="{824995FD-50DE-4E85-A512-A561449D0982}"/>
    <hyperlink ref="F453" r:id="rId211" xr:uid="{591477FA-47C9-41AE-B346-8750194ADB9E}"/>
    <hyperlink ref="F454" r:id="rId212" xr:uid="{3139BF29-A601-4352-8DCD-728A1DD5106D}"/>
    <hyperlink ref="F455" r:id="rId213" xr:uid="{6686FA62-3BB0-43B9-B9AC-0855F0991BA4}"/>
    <hyperlink ref="F456" r:id="rId214" xr:uid="{D42D0096-3DB1-4F3C-9A0F-911492DB2B8A}"/>
    <hyperlink ref="F457" r:id="rId215" xr:uid="{C851C78E-A208-4584-ABDF-7411E175A1F1}"/>
    <hyperlink ref="F458" r:id="rId216" xr:uid="{67C957A0-AC5A-4458-B4AD-2999D3040E5D}"/>
    <hyperlink ref="F459" r:id="rId217" xr:uid="{A884ED59-D559-4426-A0D0-51B1F049D5DE}"/>
    <hyperlink ref="F461" r:id="rId218" xr:uid="{F18E15F9-E541-4D67-977F-73DD741ED0C4}"/>
    <hyperlink ref="F460" r:id="rId219" xr:uid="{9457E812-7B69-41CF-B352-B4B3D41A0297}"/>
    <hyperlink ref="F462" r:id="rId220" xr:uid="{D455789E-2B98-47DD-93F4-37DF987B5DAE}"/>
    <hyperlink ref="F463" r:id="rId221" xr:uid="{0032BC0B-5D79-4BE9-A1A4-3E8318D156B0}"/>
    <hyperlink ref="F464" r:id="rId222" xr:uid="{43A2A2D6-83E6-4111-8CF3-60146A657ADD}"/>
    <hyperlink ref="F465" r:id="rId223" xr:uid="{0A92E82D-6FF6-4E67-9F9D-EACC9E2AA688}"/>
    <hyperlink ref="F466" r:id="rId224" xr:uid="{E73F62A0-707B-45BC-A7AB-4EEA3C3D68B2}"/>
    <hyperlink ref="F467" r:id="rId225" xr:uid="{6C1DB5E0-EB36-4161-8D00-C69A7564A541}"/>
    <hyperlink ref="F468" r:id="rId226" xr:uid="{4F54B0DB-4776-48F7-9C72-4FC77446D26B}"/>
    <hyperlink ref="F469" r:id="rId227" xr:uid="{1CEF088D-7ED8-42F9-98DD-45F1F2BEA069}"/>
    <hyperlink ref="F470" r:id="rId228" xr:uid="{1EE024F5-DFB5-4CBA-9981-C3958E8AE273}"/>
    <hyperlink ref="F471" r:id="rId229" xr:uid="{DB849032-5EF7-4A6A-BA33-41A955A06448}"/>
    <hyperlink ref="F472" r:id="rId230" xr:uid="{DF63CA09-9A5E-4749-9031-187147CFA59B}"/>
    <hyperlink ref="F473" r:id="rId231" xr:uid="{7BEAA55F-6884-4E3F-941C-9AEDEB909905}"/>
    <hyperlink ref="F474" r:id="rId232" xr:uid="{593517C3-D008-408C-8636-5938D513EAD2}"/>
    <hyperlink ref="F475" r:id="rId233" xr:uid="{BC1C5D22-C624-4326-8057-98BAA680185C}"/>
    <hyperlink ref="F476" r:id="rId234" xr:uid="{22399610-5958-4030-A3F2-AD933700542D}"/>
    <hyperlink ref="F477" r:id="rId235" xr:uid="{703C5785-3729-44B4-A904-EF7A8EA0EB73}"/>
    <hyperlink ref="F478" r:id="rId236" xr:uid="{E38EE90F-D937-43E4-973C-F70A6CECBA74}"/>
    <hyperlink ref="F479" r:id="rId237" xr:uid="{5842124A-627D-4534-BD75-CE5E7A3A8293}"/>
    <hyperlink ref="F480" r:id="rId238" xr:uid="{BE119421-B219-4589-92BD-E9EC5EC56B8D}"/>
    <hyperlink ref="F481" r:id="rId239" xr:uid="{C6AF80E9-9A14-4C8C-B9D1-3770B61A4D5F}"/>
    <hyperlink ref="F482" r:id="rId240" xr:uid="{66616198-C11E-40E2-89EA-B67B78B3C9D9}"/>
    <hyperlink ref="F483" r:id="rId241" xr:uid="{6DD3F36D-553F-4964-9778-46E40E5C2DDC}"/>
    <hyperlink ref="F484" r:id="rId242" xr:uid="{CFBB50BE-A1C5-4043-9D60-4BC2A03B5134}"/>
    <hyperlink ref="F485" r:id="rId243" xr:uid="{CB32DC1C-CD09-4F1D-A865-FA61029BBB9E}"/>
    <hyperlink ref="F486" r:id="rId244" xr:uid="{C740AAB3-204A-41AE-8123-756BA289DD6C}"/>
    <hyperlink ref="F487" r:id="rId245" xr:uid="{A11B728E-BB11-4161-BFBA-792028335E47}"/>
    <hyperlink ref="F488" r:id="rId246" xr:uid="{17FEAE54-4380-43C8-8082-F04D82335A1E}"/>
    <hyperlink ref="F489" r:id="rId247" xr:uid="{7B4F02DC-C9DA-4011-A93E-DE615A5DA7E4}"/>
    <hyperlink ref="F490" r:id="rId248" xr:uid="{6DA92BC1-BDBF-4E48-8822-84609B32606B}"/>
    <hyperlink ref="F491" r:id="rId249" xr:uid="{205B1383-D424-424D-A81C-6AE6C1F45BA8}"/>
    <hyperlink ref="F492" r:id="rId250" xr:uid="{3DE7D253-75EB-4E7E-8AB4-DD2C040F6ADA}"/>
    <hyperlink ref="F493" r:id="rId251" xr:uid="{EAE5863C-C345-493D-BBFB-71CF68B39FE6}"/>
    <hyperlink ref="F494" r:id="rId252" xr:uid="{FC7652B4-336D-4E24-9F0B-2783722099E1}"/>
    <hyperlink ref="F495" r:id="rId253" xr:uid="{3C9DDD26-8F1B-4FB4-ABF9-4212C74405E4}"/>
    <hyperlink ref="F496" r:id="rId254" xr:uid="{FF732015-3B5F-419F-A4C8-0563A4424AD4}"/>
    <hyperlink ref="F497" r:id="rId255" xr:uid="{58C49911-7F3B-4D72-9A1F-4666C6993F6B}"/>
    <hyperlink ref="F498" r:id="rId256" xr:uid="{365BFC67-181B-4132-9E5A-EFE426CD67FE}"/>
    <hyperlink ref="F499" r:id="rId257" xr:uid="{6110E0B4-4AF0-4B1C-8E2A-8019AEEA9EA1}"/>
    <hyperlink ref="F500" r:id="rId258" xr:uid="{4463E583-6B75-4208-886E-74F40E9FAD59}"/>
    <hyperlink ref="F501" r:id="rId259" xr:uid="{60B2FA16-A552-417D-9787-BBA925E4A740}"/>
    <hyperlink ref="F502" r:id="rId260" xr:uid="{2999EEC4-E4B0-41A6-BEC0-A25189E5A3EB}"/>
    <hyperlink ref="F503" r:id="rId261" xr:uid="{41EC5297-BCF1-402A-AF85-C8B5305035A0}"/>
    <hyperlink ref="F504" r:id="rId262" xr:uid="{4B3E5810-FCB3-415A-80BF-34051D111561}"/>
    <hyperlink ref="F505" r:id="rId263" xr:uid="{B3C5346C-CB5D-47D5-B7E4-792FAB332ED4}"/>
    <hyperlink ref="F506" r:id="rId264" xr:uid="{94BFCBDB-6927-425B-9690-19B50DF03501}"/>
    <hyperlink ref="F509" r:id="rId265" xr:uid="{632C900A-C268-4811-8413-3F76D4A6AEC7}"/>
    <hyperlink ref="F508" r:id="rId266" xr:uid="{F572C51C-D100-4621-ADD8-C447227BB10E}"/>
    <hyperlink ref="F507" r:id="rId267" xr:uid="{75614E8D-F32A-4FE4-9D01-FF3873363302}"/>
    <hyperlink ref="F510" r:id="rId268" xr:uid="{C7949EBA-2219-4293-A8F9-EF39AC2DC679}"/>
    <hyperlink ref="F511" r:id="rId269" xr:uid="{5BD119EC-0B9D-45E7-9B1F-4B181A8A5635}"/>
    <hyperlink ref="F512" r:id="rId270" xr:uid="{50974FD0-C36A-414E-AE55-E022DDFA1D93}"/>
    <hyperlink ref="F513" r:id="rId271" xr:uid="{E8492621-88E7-4322-9319-DDC5FDE51891}"/>
    <hyperlink ref="F302" r:id="rId272" xr:uid="{9A7FE5F6-E861-4E37-B916-B466BE7EF0F5}"/>
    <hyperlink ref="F301" r:id="rId273" xr:uid="{7C6E26F5-7401-401F-8F99-6D6F80E9FE2E}"/>
    <hyperlink ref="F303" r:id="rId274" xr:uid="{325CB323-1FD0-47DA-B9CE-EE29B53A7E69}"/>
    <hyperlink ref="F304" r:id="rId275" xr:uid="{E3557AB6-CFDE-497C-8D6B-7D1D553302AF}"/>
    <hyperlink ref="F305" r:id="rId276" xr:uid="{7A316EDA-B742-4059-BEBB-47A503D85820}"/>
    <hyperlink ref="F306" r:id="rId277" xr:uid="{53B2A722-CF23-44A5-9845-E9F5DACE40F7}"/>
    <hyperlink ref="F307" r:id="rId278" xr:uid="{13EA2CBA-A8F7-4D9B-A6BB-6B695A45F338}"/>
    <hyperlink ref="F308" r:id="rId279" xr:uid="{0BD75B0D-30F2-4AA9-BE8C-7C120DEB5AAA}"/>
    <hyperlink ref="F309" r:id="rId280" xr:uid="{9CC7243B-C3AB-4A6D-9BC0-814BE9060C9D}"/>
    <hyperlink ref="F310" r:id="rId281" xr:uid="{0C4D54DC-B8F6-4E18-AB75-F5EE5981B9DC}"/>
    <hyperlink ref="F311" r:id="rId282" xr:uid="{1F554675-6D03-424D-9B77-2204CF5EF0EC}"/>
    <hyperlink ref="F312" r:id="rId283" xr:uid="{4B4B1CB9-E24F-4493-B140-3BFA211F525E}"/>
    <hyperlink ref="F313" r:id="rId284" xr:uid="{17E8A5B7-D07E-449D-9791-FB81F971F02B}"/>
    <hyperlink ref="F314" r:id="rId285" xr:uid="{CCC778C4-B8B0-46BE-980D-0C3DFC939589}"/>
    <hyperlink ref="F315" r:id="rId286" xr:uid="{13889F84-D84A-463E-921D-906D195629D6}"/>
    <hyperlink ref="F316" r:id="rId287" xr:uid="{6A57B1CD-74EE-4238-8F33-B7ADA2717D19}"/>
    <hyperlink ref="F317" r:id="rId288" xr:uid="{D25F51F3-93AC-4447-A696-4301593F97FB}"/>
    <hyperlink ref="F521" r:id="rId289" xr:uid="{EBDD9B18-FD9B-4148-98F5-A182FD411914}"/>
    <hyperlink ref="F536" r:id="rId290" xr:uid="{6413EC13-A2DD-4A37-A5FA-756996BA2A4E}"/>
    <hyperlink ref="F537" r:id="rId291" xr:uid="{5ACCD800-C4E0-49DC-8BE5-6BD915AB3AC3}"/>
    <hyperlink ref="F3" r:id="rId292" xr:uid="{EC37F935-A474-45EF-871D-D762446375D6}"/>
    <hyperlink ref="F4" r:id="rId293" xr:uid="{CD595901-A8C5-4CF1-9081-EB0A03E8CA0D}"/>
    <hyperlink ref="F5" r:id="rId294" xr:uid="{307D5413-52CE-4FE8-A038-A595D962ED11}"/>
    <hyperlink ref="F6" r:id="rId295" xr:uid="{2DC770C9-AB40-4CFD-B8CF-E33943AD0396}"/>
    <hyperlink ref="F7" r:id="rId296" xr:uid="{DA2373E5-45ED-42BA-A868-CCC82F5EDA6D}"/>
    <hyperlink ref="F8" r:id="rId297" xr:uid="{2F844017-7982-4D53-9591-2626ED85C7B1}"/>
    <hyperlink ref="F9" r:id="rId298" xr:uid="{EB4DCF2F-FF16-437B-91C0-2259B8CEEF09}"/>
    <hyperlink ref="F10" r:id="rId299" xr:uid="{29C7DCF1-5EE1-499D-B035-2E89A3AD84D6}"/>
    <hyperlink ref="F11" r:id="rId300" xr:uid="{160CF43C-1486-4EDC-BD7B-9CC5F78FA1D7}"/>
    <hyperlink ref="F14" r:id="rId301" xr:uid="{BAC9EF88-870B-4192-8A3E-FF1489DC8EE8}"/>
    <hyperlink ref="F15" r:id="rId302" xr:uid="{787AD2DA-3C8E-4BAB-91E1-872908C43A1E}"/>
    <hyperlink ref="F16" r:id="rId303" xr:uid="{58D8FA7D-4D32-48A3-AD35-19A4661C9D8E}"/>
    <hyperlink ref="F17" r:id="rId304" xr:uid="{F6FEB8C9-2247-4A5D-814C-345937D75485}"/>
    <hyperlink ref="F18" r:id="rId305" xr:uid="{2E0D21CC-F0A9-4AE9-8286-58F4C4597DFD}"/>
    <hyperlink ref="F19" r:id="rId306" xr:uid="{3177A1B9-2556-4E11-A754-CA65CBFB79FB}"/>
    <hyperlink ref="F20" r:id="rId307" xr:uid="{A70E2AEE-3C03-4F7D-AC0F-DDA1EDE41D38}"/>
    <hyperlink ref="F21" r:id="rId308" xr:uid="{0308E210-31C1-4078-9741-F1005C6D6D42}"/>
    <hyperlink ref="F22" r:id="rId309" xr:uid="{71479F7A-06F6-4905-A28C-D1A3723843E4}"/>
    <hyperlink ref="F23" r:id="rId310" xr:uid="{E7441127-3466-407C-9301-E01243F95118}"/>
    <hyperlink ref="F24" r:id="rId311" xr:uid="{D10F962A-4CDA-4416-8F70-15EA01560E12}"/>
    <hyperlink ref="F25" r:id="rId312" xr:uid="{9527EF18-2749-4B11-90E0-CDA80BD0BE18}"/>
    <hyperlink ref="F26" r:id="rId313" xr:uid="{3A1ABF6E-9825-4402-81D1-FE6ED75460D9}"/>
    <hyperlink ref="F27" r:id="rId314" xr:uid="{106C0DF9-ED0C-4DDB-BBAE-B01B59A88C2A}"/>
    <hyperlink ref="F28" r:id="rId315" xr:uid="{711A222B-A91A-4056-A968-791A3080860F}"/>
    <hyperlink ref="F29" r:id="rId316" xr:uid="{851C4CB2-6F19-4577-A737-344AEE1F9978}"/>
    <hyperlink ref="F30" r:id="rId317" xr:uid="{D70ECD5C-E779-4665-8EB7-722F27BECF35}"/>
    <hyperlink ref="F31" r:id="rId318" xr:uid="{BD27F5B4-012E-425F-90C9-CA4E742FFA58}"/>
    <hyperlink ref="F33" r:id="rId319" xr:uid="{925E893E-9EEA-4E22-9E75-7EBF9ACFB542}"/>
    <hyperlink ref="F34" r:id="rId320" xr:uid="{DC87A580-3714-4478-B083-E0B0BCA45668}"/>
    <hyperlink ref="F37" r:id="rId321" xr:uid="{649114E1-E446-4EE8-865D-FFEC8BF1A6F8}"/>
    <hyperlink ref="F38" r:id="rId322" xr:uid="{581564BD-4E4E-4AA6-A137-63ADDAD672EE}"/>
    <hyperlink ref="F39" r:id="rId323" xr:uid="{C515000D-E5D0-4A8E-9896-8265778EA6E2}"/>
    <hyperlink ref="F40" r:id="rId324" xr:uid="{4AF16DD2-C78E-49B9-A8C6-F18588EEF480}"/>
    <hyperlink ref="F41" r:id="rId325" xr:uid="{3F1BEE3A-E09F-4D37-85D6-432D8075035A}"/>
    <hyperlink ref="F42" r:id="rId326" xr:uid="{759FB608-05C0-49C2-B39E-B95FC1EC3A16}"/>
    <hyperlink ref="F43" r:id="rId327" xr:uid="{1C075D7A-3EE8-4425-914B-7EBB93EFBD73}"/>
    <hyperlink ref="F46" r:id="rId328" xr:uid="{36CD2D5A-57A7-4CD6-ABD4-2EC7CEC9B70C}"/>
    <hyperlink ref="F47" r:id="rId329" xr:uid="{B525D646-AA5F-45C6-925C-A2839936E37D}"/>
    <hyperlink ref="F48" r:id="rId330" xr:uid="{E0AA56D9-7CB0-4040-B862-62FAC6EA6674}"/>
    <hyperlink ref="F49" r:id="rId331" xr:uid="{A9C90078-383A-4C95-BA92-735770D78F83}"/>
    <hyperlink ref="F50" r:id="rId332" xr:uid="{375405C0-C014-49A4-B365-5C4051A26611}"/>
    <hyperlink ref="F51" r:id="rId333" xr:uid="{32B19EE3-6BD6-4DEC-9BBF-052A9E5C7108}"/>
    <hyperlink ref="F52" r:id="rId334" xr:uid="{07DDFDEF-3AFB-44B4-B499-9890C14984BE}"/>
    <hyperlink ref="F53" r:id="rId335" xr:uid="{996F7555-9609-4EC9-BDB9-62DF5CB3C624}"/>
    <hyperlink ref="F54" r:id="rId336" xr:uid="{384DEED1-9CF2-4518-9C16-AEACF0136260}"/>
    <hyperlink ref="F55" r:id="rId337" xr:uid="{0DFE8AF2-0531-45B4-9D54-2C0E5B5BDDB8}"/>
    <hyperlink ref="F56" r:id="rId338" xr:uid="{5523861B-01C6-4D00-BE85-BD220FC32547}"/>
    <hyperlink ref="F57" r:id="rId339" xr:uid="{3691D9BF-60C0-47C1-9FAE-6E0211B2F7B5}"/>
    <hyperlink ref="F58" r:id="rId340" xr:uid="{AD116598-7424-4EC4-B976-EA03234885D8}"/>
    <hyperlink ref="F59" r:id="rId341" xr:uid="{E1D9F810-7E32-41CB-94B7-3ED957E2E73C}"/>
    <hyperlink ref="F60" r:id="rId342" xr:uid="{E77E0D24-7F3F-4785-9D78-E5FA084645FD}"/>
    <hyperlink ref="F61" r:id="rId343" xr:uid="{40A7AF3E-FF8C-4983-B016-397765D72130}"/>
    <hyperlink ref="F62" r:id="rId344" xr:uid="{E750BDDD-B169-4EA3-8782-66E9EB0751D8}"/>
    <hyperlink ref="F63" r:id="rId345" xr:uid="{EE343F74-72AD-4B0B-B6B9-E71F3AE81A66}"/>
    <hyperlink ref="F64" r:id="rId346" xr:uid="{8347B3CF-C93A-4CEC-BC48-9C358DE5F555}"/>
    <hyperlink ref="F12" r:id="rId347" xr:uid="{DE382535-C2AD-4612-AA51-F2B215A7A4B2}"/>
    <hyperlink ref="F44" r:id="rId348" xr:uid="{3841F307-7A1E-4F6C-BDEB-4AEF5A09B755}"/>
    <hyperlink ref="F45" r:id="rId349" xr:uid="{313C2153-3070-4C13-824F-36F6E929363E}"/>
    <hyperlink ref="F35" r:id="rId350" xr:uid="{583EDB8E-1E77-4314-9BEE-72A604A63F2C}"/>
    <hyperlink ref="F36" r:id="rId351" xr:uid="{CC80A950-7ED7-44EB-A970-ECA7A6E8A40E}"/>
    <hyperlink ref="F66" r:id="rId352" xr:uid="{AEEFF004-B653-49C8-A729-237F995DC84A}"/>
    <hyperlink ref="F318" r:id="rId353" xr:uid="{BE60AF19-A80A-4359-90EC-449833926DD6}"/>
    <hyperlink ref="F319" r:id="rId354" xr:uid="{1D06DFC6-E2A5-4EAB-A7B1-BC4D8BD86862}"/>
    <hyperlink ref="F320" r:id="rId355" xr:uid="{E6399829-5053-49B1-ADD5-47B94FA01BE0}"/>
    <hyperlink ref="F321" r:id="rId356" xr:uid="{9A0CE1C5-E7EB-4F55-852A-37F4CD965ECE}"/>
    <hyperlink ref="F322" r:id="rId357" xr:uid="{2BDAAE0E-5E33-4E69-8384-854B19028A13}"/>
    <hyperlink ref="F323" r:id="rId358" xr:uid="{9D41C3DA-D309-4866-91E4-21EB2F3A499F}"/>
    <hyperlink ref="F324" r:id="rId359" xr:uid="{FE7FA527-8D2B-44F3-95FA-E415338E254A}"/>
    <hyperlink ref="F325" r:id="rId360" xr:uid="{74D1F817-BD7F-43CE-AF31-87E049AF94AB}"/>
    <hyperlink ref="F326" r:id="rId361" xr:uid="{7D00583C-2628-4DBC-B3AA-243A13E360C7}"/>
    <hyperlink ref="F327" r:id="rId362" xr:uid="{9556E034-5FF6-4351-8540-334E1F32A35B}"/>
    <hyperlink ref="F328" r:id="rId363" xr:uid="{975B1202-BC12-48A6-969B-1869F247EA0C}"/>
    <hyperlink ref="F329" r:id="rId364" xr:uid="{CD648338-635E-4D92-B35C-50AFB1825ECF}"/>
    <hyperlink ref="F330" r:id="rId365" xr:uid="{F1279BB3-0DF6-478A-A279-9EEA932825FB}"/>
    <hyperlink ref="F331" r:id="rId366" xr:uid="{A4E6070E-F0C0-47F3-8323-45B2A86832AC}"/>
    <hyperlink ref="F332" r:id="rId367" xr:uid="{BB5C995F-90FE-45A1-81BA-03CC8B2C559B}"/>
    <hyperlink ref="F334" r:id="rId368" xr:uid="{D2FCA732-1242-4418-A994-04EA1AC46964}"/>
    <hyperlink ref="F333" r:id="rId369" xr:uid="{825BDF78-F7F6-4B79-944E-8F37512CA2E2}"/>
    <hyperlink ref="F335" r:id="rId370" xr:uid="{915FECBC-3B7D-42FB-B833-FE22C36D72ED}"/>
    <hyperlink ref="F336" r:id="rId371" xr:uid="{EE310AF4-8360-4721-A05B-CF31537F1502}"/>
    <hyperlink ref="F337" r:id="rId372" xr:uid="{858E23E4-EC7A-458D-BC7C-E711595EE33B}"/>
    <hyperlink ref="F338" r:id="rId373" xr:uid="{9573B09D-94FD-4EED-9201-7C95387DE523}"/>
    <hyperlink ref="F339" r:id="rId374" xr:uid="{52DA5948-211A-4A2D-9F8A-9B67101379D2}"/>
    <hyperlink ref="F340" r:id="rId375" xr:uid="{FB082C1C-1E80-417E-8A3C-6669B49F9DED}"/>
    <hyperlink ref="F341" r:id="rId376" xr:uid="{68F8B6E7-092C-4ADE-9A73-94351C2F7D11}"/>
    <hyperlink ref="F342" r:id="rId377" xr:uid="{8121962D-F0CB-466A-9564-F2C54D935865}"/>
    <hyperlink ref="F343" r:id="rId378" xr:uid="{75139BB6-9FAF-4B54-A9E3-8C84D47E3A24}"/>
    <hyperlink ref="F344" r:id="rId379" xr:uid="{9F27732F-BD2F-4F4F-86D2-3CF27D24F126}"/>
    <hyperlink ref="F345" r:id="rId380" xr:uid="{04DF750C-F8BD-4F60-B550-3F2776E4E745}"/>
    <hyperlink ref="F346" r:id="rId381" xr:uid="{76C30072-A612-4327-A96F-F9B80A249CA2}"/>
    <hyperlink ref="F347" r:id="rId382" xr:uid="{D578F035-8FC9-4D51-8A2E-82831B69BABF}"/>
    <hyperlink ref="F348" r:id="rId383" xr:uid="{CEA30368-0BA9-4FB4-AD67-2A43975CA47F}"/>
    <hyperlink ref="F349" r:id="rId384" xr:uid="{10EB5A3D-06A2-4865-9E31-0194062475C9}"/>
    <hyperlink ref="F350" r:id="rId385" xr:uid="{8F6E9480-81AC-4CB8-A029-BF68FD2CECE6}"/>
    <hyperlink ref="F351" r:id="rId386" xr:uid="{1533EC96-1439-48D3-941A-6F8FBA542F08}"/>
    <hyperlink ref="F352" r:id="rId387" xr:uid="{1290EDDB-7CC9-4344-B89D-14B9AD5C0DFC}"/>
    <hyperlink ref="F353" r:id="rId388" xr:uid="{4AC1BE82-D65C-460F-8A2E-B164AF297FC2}"/>
    <hyperlink ref="F354" r:id="rId389" xr:uid="{E3E9303F-9FE8-45CD-A256-B9C6D95D2C60}"/>
    <hyperlink ref="F355" r:id="rId390" xr:uid="{0011AADC-2E6E-44E1-97A3-C55384DC4F58}"/>
    <hyperlink ref="F356" r:id="rId391" xr:uid="{120F4478-86EB-4663-B758-236D255CA29F}"/>
    <hyperlink ref="F357" r:id="rId392" xr:uid="{A176049B-4301-4692-B356-5B1D99D31571}"/>
    <hyperlink ref="F358" r:id="rId393" xr:uid="{994F9B6E-D4A7-41A7-8D4C-95C7D79A783E}"/>
    <hyperlink ref="F359" r:id="rId394" xr:uid="{AC931997-6CB9-4E2D-A426-4184CB8094A6}"/>
    <hyperlink ref="F360" r:id="rId395" xr:uid="{244AA2DE-479F-4F62-9CE3-02000C1B24CE}"/>
    <hyperlink ref="F361" r:id="rId396" xr:uid="{EDAD648A-4C23-4879-B01E-50535BE272A4}"/>
    <hyperlink ref="F362" r:id="rId397" xr:uid="{CD4055BB-614A-4828-983B-263516C2AECB}"/>
    <hyperlink ref="F363" r:id="rId398" xr:uid="{131BAB06-5691-4D82-93F7-15C91F1C3B06}"/>
    <hyperlink ref="F364" r:id="rId399" xr:uid="{71A721D8-7B35-4AAA-8E7D-D84E46EB149E}"/>
    <hyperlink ref="F365" r:id="rId400" xr:uid="{A0654584-EB5A-417E-AFD5-CB67F7A10A74}"/>
    <hyperlink ref="F366" r:id="rId401" xr:uid="{EF6B833F-E2E0-4124-98D4-8455E31DF281}"/>
    <hyperlink ref="F368" r:id="rId402" xr:uid="{B75E2849-F4E3-49F7-A063-A64A387D2FEC}"/>
    <hyperlink ref="F369" r:id="rId403" xr:uid="{045F6C3D-E56F-422A-BBA5-7D6ED6811F56}"/>
    <hyperlink ref="F370" r:id="rId404" xr:uid="{3A0B9CC2-6C08-41B3-8983-25F47B2572DD}"/>
    <hyperlink ref="F371" r:id="rId405" xr:uid="{3DE80690-FEF0-4FC4-A1C1-83338AF6E014}"/>
    <hyperlink ref="F372" r:id="rId406" xr:uid="{E2031A72-23F1-49F8-98AF-12201A46B7BC}"/>
    <hyperlink ref="F373" r:id="rId407" xr:uid="{5459EEE1-8A6E-49FF-8587-5F29BE24887B}"/>
    <hyperlink ref="F374" r:id="rId408" xr:uid="{22AB8950-48FD-4916-82B9-9ECC56E92C4D}"/>
    <hyperlink ref="F375" r:id="rId409" xr:uid="{B98D8AD3-8D83-4BCB-A15B-1DD211BFBA1D}"/>
    <hyperlink ref="F376" r:id="rId410" xr:uid="{C531950E-685F-4607-81C7-62F4ACEAA394}"/>
    <hyperlink ref="F377" r:id="rId411" xr:uid="{6461E3DE-4BC7-404A-BC75-04B81DFC7728}"/>
    <hyperlink ref="F378" r:id="rId412" xr:uid="{DA76F4B1-4043-4EAA-9DBF-B78699E83DEF}"/>
    <hyperlink ref="F379" r:id="rId413" xr:uid="{22377F4F-80D2-41F1-B961-BD9C8499D39F}"/>
    <hyperlink ref="F380" r:id="rId414" xr:uid="{99C9DFCA-514E-4C3D-A92F-E8614B164880}"/>
    <hyperlink ref="F381" r:id="rId415" xr:uid="{D1195996-B940-43DA-98C9-7A7887D59035}"/>
    <hyperlink ref="F382" r:id="rId416" xr:uid="{10AE0737-0C82-4172-BA4D-A4693DB57DCD}"/>
    <hyperlink ref="F384" r:id="rId417" xr:uid="{6E0911D7-D782-4EDB-AB89-96B6CFC77972}"/>
    <hyperlink ref="F385" r:id="rId418" xr:uid="{F3B8CE56-5BBF-4246-A85C-99339AA55A60}"/>
    <hyperlink ref="F386" r:id="rId419" xr:uid="{3E4D1057-1336-4869-8D80-BC88ACB578C0}"/>
    <hyperlink ref="F387" r:id="rId420" xr:uid="{2AC5EEC7-F340-4E73-9279-3F74E5293705}"/>
    <hyperlink ref="F388" r:id="rId421" xr:uid="{130B35A9-40FC-4F9C-8578-1567A84906BF}"/>
    <hyperlink ref="F389" r:id="rId422" xr:uid="{A96D5E85-91BE-44B9-ACC7-D60F1BB31AFF}"/>
    <hyperlink ref="F390" r:id="rId423" xr:uid="{F4AF6421-8451-4A39-936C-1A8BEC591712}"/>
    <hyperlink ref="F391" r:id="rId424" xr:uid="{9EFB3157-B85D-43FA-860C-5D454DDCDEB6}"/>
    <hyperlink ref="F392" r:id="rId425" xr:uid="{21D56BBB-B5AD-4EE4-A149-D71C6955C853}"/>
    <hyperlink ref="F393" r:id="rId426" xr:uid="{264695A2-7F5F-47D6-A134-49D994CB6958}"/>
    <hyperlink ref="F394" r:id="rId427" xr:uid="{2B5FB9A3-2D65-4628-A8BD-B7239B45DA14}"/>
    <hyperlink ref="F395" r:id="rId428" xr:uid="{1C407D93-A0BC-479D-B975-DBF4CA542E0A}"/>
    <hyperlink ref="F396" r:id="rId429" xr:uid="{5B0BB8AF-66EC-41A7-98DA-EFCC90E9DE96}"/>
    <hyperlink ref="F397" r:id="rId430" xr:uid="{770FA22C-A23D-4061-BDAE-5F0027BB48E1}"/>
    <hyperlink ref="F398" r:id="rId431" xr:uid="{BE414DF3-49BC-4DF6-8AA3-FC09D0D0ED1F}"/>
    <hyperlink ref="F399" r:id="rId432" xr:uid="{3BE71706-3CDC-4BBA-A6C3-C95958921E79}"/>
    <hyperlink ref="F400" r:id="rId433" xr:uid="{8DF396FC-DBF4-4F51-88FD-BF8E0B902CDA}"/>
    <hyperlink ref="F401" r:id="rId434" xr:uid="{946057A1-6E0A-49D0-8BCE-0A6B73EE0CAA}"/>
    <hyperlink ref="F402" r:id="rId435" xr:uid="{512230F0-A848-4F74-89C5-566A2D3BC411}"/>
    <hyperlink ref="F403" r:id="rId436" xr:uid="{F5C39766-CFE8-4331-8D3B-A64F353E99D6}"/>
    <hyperlink ref="F404" r:id="rId437" xr:uid="{458088F7-C3F3-49A4-9482-54610A3C55BE}"/>
    <hyperlink ref="F405" r:id="rId438" xr:uid="{0C1E869A-92DA-4E26-AC09-06E70844B7F2}"/>
    <hyperlink ref="F406" r:id="rId439" xr:uid="{68CC2B1B-1FBF-41BD-9FA9-B9C381FAC5D3}"/>
    <hyperlink ref="F407" r:id="rId440" xr:uid="{81339A3A-594C-4573-ABAA-02140DE9409E}"/>
    <hyperlink ref="F408" r:id="rId441" xr:uid="{D1CD53C9-B426-4F51-9F08-E66D2305A2C7}"/>
    <hyperlink ref="F409" r:id="rId442" xr:uid="{3531D9F5-0A95-4F9E-B2B6-1685E439E97F}"/>
    <hyperlink ref="F410" r:id="rId443" xr:uid="{3ACD3E5D-A1BF-4477-8948-CBAC2A5F35EA}"/>
    <hyperlink ref="F411" r:id="rId444" xr:uid="{9C828F6E-5758-4E3A-9BDC-F473C5512B39}"/>
    <hyperlink ref="F412" r:id="rId445" xr:uid="{4EBB72C5-F706-45A0-BADD-8F27C441B4E5}"/>
    <hyperlink ref="F413" r:id="rId446" xr:uid="{11D13D5E-F1FE-4397-95FF-34B5CD03F8C8}"/>
    <hyperlink ref="F414" r:id="rId447" xr:uid="{3B859E85-2E54-4739-897F-E50DA6A056B8}"/>
    <hyperlink ref="F415" r:id="rId448" xr:uid="{CF8F4D02-7036-4C99-8245-2B6307EB0FF0}"/>
    <hyperlink ref="F416" r:id="rId449" xr:uid="{7803CA5C-F319-4006-BC6D-61A937F49B41}"/>
    <hyperlink ref="F417" r:id="rId450" xr:uid="{AC052DB1-8F35-483C-BA66-11CB5793984F}"/>
    <hyperlink ref="F418" r:id="rId451" xr:uid="{E2BDC73B-AF7C-4426-8EFD-F7E7EF5CC345}"/>
    <hyperlink ref="F419" r:id="rId452" xr:uid="{AF97B608-2742-4868-A108-1D8D92CF910C}"/>
    <hyperlink ref="F420" r:id="rId453" xr:uid="{DBE1DB76-DBE7-473D-8757-47A3C95632B2}"/>
    <hyperlink ref="F421" r:id="rId454" xr:uid="{3383C3D2-AFD0-47ED-A565-A42E5F588137}"/>
    <hyperlink ref="F422" r:id="rId455" xr:uid="{EC92D2EB-85B7-417F-8458-876B34544DE7}"/>
    <hyperlink ref="F423" r:id="rId456" xr:uid="{5C3FD232-F02D-4677-90DB-F8CBE8ADFE01}"/>
    <hyperlink ref="F424" r:id="rId457" xr:uid="{CC4F33CB-567D-49EE-BF08-31AD794D7A22}"/>
    <hyperlink ref="F425" r:id="rId458" xr:uid="{5E192F7A-0326-4897-99CE-CC886CC66BDB}"/>
    <hyperlink ref="F426" r:id="rId459" xr:uid="{E261C0AE-84AE-4966-829F-EF794A5E6651}"/>
    <hyperlink ref="F427" r:id="rId460" xr:uid="{CEE51FB6-AE1A-4A3E-8785-918CEE3BA55B}"/>
    <hyperlink ref="F288" r:id="rId461" xr:uid="{9BE70F6C-E216-4D3A-BDAF-B47F348310D9}"/>
    <hyperlink ref="F294" r:id="rId462" xr:uid="{FE3392C7-3653-4C00-BC4B-DD3E1DDBA22F}"/>
    <hyperlink ref="F282" r:id="rId463" xr:uid="{2CD56C9E-0FF1-45B5-BC05-DC9CAB2BA4CC}"/>
    <hyperlink ref="F538" r:id="rId464" xr:uid="{1DD0AFE2-7B4A-4567-ACF9-83243E6165A5}"/>
    <hyperlink ref="F526:F530" r:id="rId465" display="dzaky.ramzy@langhamhotels.com" xr:uid="{6A5474A7-588F-4BB7-8EA2-D67CD6144820}"/>
    <hyperlink ref="F533" r:id="rId466" xr:uid="{19CA87E5-D7A7-4B27-8BFD-6B0F3199DD39}"/>
    <hyperlink ref="F521:F522" r:id="rId467" display="Queenilla.Stephanik@Hilton.com" xr:uid="{18A1FBB1-F8AC-4B54-94D0-687E03B2D299}"/>
    <hyperlink ref="F539" r:id="rId468" xr:uid="{322DC2DB-2244-406C-932A-2BA1D180CD8A}"/>
    <hyperlink ref="F540" r:id="rId469" xr:uid="{C4F55141-789D-40F6-92BF-7B8AE077141A}"/>
    <hyperlink ref="F541" r:id="rId470" xr:uid="{9DE374EF-5AB9-425B-9965-1F1DB1ABF446}"/>
    <hyperlink ref="F542" r:id="rId471" xr:uid="{CF749985-587B-44A6-BC10-93687CA36789}"/>
    <hyperlink ref="F530" r:id="rId472" xr:uid="{6C6625B0-A0A1-4DFC-8840-5718189D2A39}"/>
    <hyperlink ref="F531" r:id="rId473" xr:uid="{4332F02D-3F6B-4152-9882-9F624CC02BE0}"/>
    <hyperlink ref="F524" r:id="rId474" xr:uid="{7872BDB7-4E09-4662-ABAB-677B12B470E2}"/>
    <hyperlink ref="F544" r:id="rId475" xr:uid="{A9EA2536-2C0B-495C-8D0B-A50FD38F24B7}"/>
    <hyperlink ref="F674" r:id="rId476" xr:uid="{AD116849-6B0B-4B1E-95EE-746A095AA4D2}"/>
    <hyperlink ref="F545" r:id="rId477" xr:uid="{7288E340-CFF3-4C8B-BAAA-861DB17F5FBC}"/>
    <hyperlink ref="F543" r:id="rId478" xr:uid="{9D2B0D56-CF0B-40D3-ABBC-6ED8433605E1}"/>
    <hyperlink ref="F546" r:id="rId479" xr:uid="{E7D05B43-0BDC-44C4-A460-5E3046B88A72}"/>
    <hyperlink ref="F547" r:id="rId480" xr:uid="{3AB8C298-531C-449F-AF89-132215BBE353}"/>
    <hyperlink ref="F548" r:id="rId481" xr:uid="{6E61F4DE-E2E4-4807-9E46-2C202D7771F4}"/>
    <hyperlink ref="F670" r:id="rId482" xr:uid="{F3E92A55-378D-4ABB-B5D9-13E20C08A4F8}"/>
    <hyperlink ref="F671" r:id="rId483" xr:uid="{097B0F20-F5EC-41D3-B8B1-CD13CF7009C1}"/>
    <hyperlink ref="F672" r:id="rId484" xr:uid="{0FC1C2F1-3735-48F9-885F-F7BB3EE63626}"/>
    <hyperlink ref="F673" r:id="rId485" xr:uid="{2EC4C914-B95D-4C43-B769-27E34FB591F4}"/>
    <hyperlink ref="F740" r:id="rId486" xr:uid="{DD3E2A10-886C-4502-BD01-44C9997DAB02}"/>
    <hyperlink ref="F741" r:id="rId487" xr:uid="{71874087-2321-48A4-A31E-FD475CAF27CE}"/>
    <hyperlink ref="F743" r:id="rId488" xr:uid="{FA972486-BCCB-4052-A201-8AA6FC2EEE47}"/>
    <hyperlink ref="F742" r:id="rId489" display="moulin@topotels.com" xr:uid="{42B223EB-5C0E-40B2-9458-5ED466C8BFAD}"/>
    <hyperlink ref="F742" r:id="rId490" xr:uid="{30CE4902-6466-4316-BF50-8EECFF9285DE}"/>
    <hyperlink ref="F519" r:id="rId491" xr:uid="{8CB1A120-EC10-4EB6-B9AF-F6900A6D3E6B}"/>
    <hyperlink ref="F744" r:id="rId492" xr:uid="{9B35E5EF-8085-4C8F-BCB1-34309A8A9528}"/>
    <hyperlink ref="F520" r:id="rId493" xr:uid="{3BE56EB1-DCF4-4512-9842-3C2803B0DC69}"/>
    <hyperlink ref="F745" r:id="rId494" xr:uid="{91BEC3ED-42E2-44A6-9BB4-59CB11EE42B1}"/>
  </hyperlinks>
  <pageMargins left="0.7" right="0.7" top="0.75" bottom="0.75" header="0.3" footer="0.3"/>
  <pageSetup orientation="portrait" r:id="rId495"/>
  <ignoredErrors>
    <ignoredError sqref="J2" calculatedColumn="1"/>
  </ignoredErrors>
  <tableParts count="1">
    <tablePart r:id="rId49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cdd82a-ec49-4fdf-853f-ae054103522e">
      <Terms xmlns="http://schemas.microsoft.com/office/infopath/2007/PartnerControls"/>
    </lcf76f155ced4ddcb4097134ff3c332f>
    <TaxCatchAll xmlns="43a1bb45-ed85-462c-a7d2-90cdf4eeab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853CB25E1B34691E1A53040A9DFAA" ma:contentTypeVersion="15" ma:contentTypeDescription="Create a new document." ma:contentTypeScope="" ma:versionID="c023042f96d41af9df2e8449c93a9c4a">
  <xsd:schema xmlns:xsd="http://www.w3.org/2001/XMLSchema" xmlns:xs="http://www.w3.org/2001/XMLSchema" xmlns:p="http://schemas.microsoft.com/office/2006/metadata/properties" xmlns:ns2="43a1bb45-ed85-462c-a7d2-90cdf4eeabe8" xmlns:ns3="72cdd82a-ec49-4fdf-853f-ae054103522e" targetNamespace="http://schemas.microsoft.com/office/2006/metadata/properties" ma:root="true" ma:fieldsID="e369ec3aff70a21b0aed7990d81abcc8" ns2:_="" ns3:_="">
    <xsd:import namespace="43a1bb45-ed85-462c-a7d2-90cdf4eeabe8"/>
    <xsd:import namespace="72cdd82a-ec49-4fdf-853f-ae05410352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1bb45-ed85-462c-a7d2-90cdf4eeab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edf898-9702-44e4-8f79-47cfd90c5d7e}" ma:internalName="TaxCatchAll" ma:showField="CatchAllData" ma:web="43a1bb45-ed85-462c-a7d2-90cdf4eea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dd82a-ec49-4fdf-853f-ae0541035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f121573-eab9-4e86-a638-29bf9d509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F19449-2804-49BD-AE9E-02C451FDCBF3}">
  <ds:schemaRefs>
    <ds:schemaRef ds:uri="http://schemas.microsoft.com/office/2006/metadata/properties"/>
    <ds:schemaRef ds:uri="http://schemas.microsoft.com/office/infopath/2007/PartnerControls"/>
    <ds:schemaRef ds:uri="72cdd82a-ec49-4fdf-853f-ae054103522e"/>
    <ds:schemaRef ds:uri="43a1bb45-ed85-462c-a7d2-90cdf4eeabe8"/>
  </ds:schemaRefs>
</ds:datastoreItem>
</file>

<file path=customXml/itemProps2.xml><?xml version="1.0" encoding="utf-8"?>
<ds:datastoreItem xmlns:ds="http://schemas.openxmlformats.org/officeDocument/2006/customXml" ds:itemID="{689A2E68-64A8-4629-B31B-66CE94A43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a1bb45-ed85-462c-a7d2-90cdf4eeabe8"/>
    <ds:schemaRef ds:uri="72cdd82a-ec49-4fdf-853f-ae05410352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0588C1-C1D9-4E23-BD13-D2D3421FF5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Perpanjang kontrak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Crsitine Sirait</dc:creator>
  <cp:keywords/>
  <dc:description/>
  <cp:lastModifiedBy>Caroline Cristine Sirait</cp:lastModifiedBy>
  <cp:revision/>
  <dcterms:created xsi:type="dcterms:W3CDTF">2024-12-03T06:43:16Z</dcterms:created>
  <dcterms:modified xsi:type="dcterms:W3CDTF">2026-06-25T02:31:00Z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0x0101006B0853CB25E1B34691E1A53040A9DFAA</vt:lpwstr>
  </property>
  <property fmtid="{D5CDD505-2E9C-101B-9397-08002B2CF9AE}" pid="3" name="MediaServiceImageTags">
    <vt:lpwstr/>
  </property>
</Properties>
</file>